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https://d.docs.live.net/070ac123cb5becad/Docs/Training/Opwall/Benthic/"/>
    </mc:Choice>
  </mc:AlternateContent>
  <xr:revisionPtr revIDLastSave="307" documentId="8_{2E336C41-74F4-4A27-8BDA-489FD6B10A40}" xr6:coauthVersionLast="47" xr6:coauthVersionMax="47" xr10:uidLastSave="{0DF71D5F-E7C1-4A40-AC24-E5E4E7F83A04}"/>
  <bookViews>
    <workbookView xWindow="9270" yWindow="3720" windowWidth="38700" windowHeight="15345" activeTab="5" xr2:uid="{00000000-000D-0000-FFFF-FFFF00000000}"/>
  </bookViews>
  <sheets>
    <sheet name="Template" sheetId="5" r:id="rId1"/>
    <sheet name="Benthic.Codes" sheetId="82" r:id="rId2"/>
    <sheet name="Benthic.Genus.Species" sheetId="83" r:id="rId3"/>
    <sheet name="Benthic.Morphology" sheetId="84" r:id="rId4"/>
    <sheet name="Site_info" sheetId="4" r:id="rId5"/>
    <sheet name="Parameters" sheetId="79" r:id="rId6"/>
    <sheet name="Working List" sheetId="81" r:id="rId7"/>
  </sheets>
  <functionGroups builtInGroupCount="19"/>
  <externalReferences>
    <externalReference r:id="rId8"/>
  </externalReferences>
  <definedNames>
    <definedName name="_xlnm._FilterDatabase" localSheetId="2" hidden="1">'Benthic.Genus.Species'!$A$1:$H$239</definedName>
    <definedName name="_xlnm._FilterDatabase" localSheetId="4" hidden="1">Site_info!$A$2:$P$46</definedName>
    <definedName name="_xlnm._FilterDatabase" localSheetId="0" hidden="1">Template!$A$2:$J$10</definedName>
    <definedName name="BenCAT">[1]Codes!$A$2:$B$24</definedName>
    <definedName name="BENTHIC_CODE">'Working List'!$A$7:$A$30</definedName>
    <definedName name="G.ANE">'Working List'!$A$33</definedName>
    <definedName name="G.ASC">'Working List'!$A$35:$A$36</definedName>
    <definedName name="G.BRY">'Working List'!$A$39</definedName>
    <definedName name="G.CCA">'Working List'!$A$41</definedName>
    <definedName name="G.CYA">'Working List'!$A$43</definedName>
    <definedName name="G.DCA">'Working List'!$A$45</definedName>
    <definedName name="G.DCO">'Working List'!$A$47</definedName>
    <definedName name="G.HCO">'Working List'!$A$50:$A$68</definedName>
    <definedName name="G.INV">'Working List'!$A$71</definedName>
    <definedName name="G.MAA">'Working List'!$A$74:$A$89</definedName>
    <definedName name="G.MIL">'Working List'!$A$92:$A$93</definedName>
    <definedName name="G.OTH">'Working List'!$A$96</definedName>
    <definedName name="G.PEY">'Working List'!$A$98</definedName>
    <definedName name="G.RBB">'Working List'!$A$100</definedName>
    <definedName name="G.RCK">'Working List'!$A$102</definedName>
    <definedName name="G.SAN">'Working List'!$A$104</definedName>
    <definedName name="G.SCO">'Working List'!$A$106</definedName>
    <definedName name="G.SGR">'Working List'!$A$109</definedName>
    <definedName name="G.SIL">'Working List'!$A$111</definedName>
    <definedName name="G.SPO">'Working List'!$A$113:$A$119</definedName>
    <definedName name="G.TAL">'Working List'!$A$122</definedName>
    <definedName name="G.UNK">'Working List'!$A$124</definedName>
    <definedName name="G.WAT">'Working List'!$A$126</definedName>
    <definedName name="G.ZOA">'Working List'!$A$128</definedName>
    <definedName name="M.ANE">'Working List'!$A$260</definedName>
    <definedName name="M.ASC">'Working List'!$A$262</definedName>
    <definedName name="M.BRY">'Working List'!$A$264</definedName>
    <definedName name="M.CCA">'Working List'!$A$266</definedName>
    <definedName name="M.CYA">'Working List'!$A$268</definedName>
    <definedName name="M.DCA">'Working List'!$A$270</definedName>
    <definedName name="M.DCO">'Working List'!$A$272</definedName>
    <definedName name="M.HCO">'Working List'!$A$274:$A$281</definedName>
    <definedName name="M.INV">'Working List'!$A$284:$A$289</definedName>
    <definedName name="M.MAA">'Working List'!$A$292</definedName>
    <definedName name="M.MIL">'Working List'!$A$294:$A$295</definedName>
    <definedName name="M.OTH">'Working List'!$A$298</definedName>
    <definedName name="M.PEY">'Working List'!$A$300</definedName>
    <definedName name="M.RBB">'Working List'!$A$302</definedName>
    <definedName name="M.RCK">'Working List'!$A$304</definedName>
    <definedName name="M.SAN">'Working List'!$A$306</definedName>
    <definedName name="M.SCO">'Working List'!$A$308:$A$313</definedName>
    <definedName name="M.SGR">'Working List'!$A$316</definedName>
    <definedName name="M.SIL">'Working List'!$A$318</definedName>
    <definedName name="M.SPO">'Working List'!$A$320:$A$324</definedName>
    <definedName name="M.TAL">'Working List'!$A$327</definedName>
    <definedName name="M.UNK">'Working List'!$A$329</definedName>
    <definedName name="M.WAT">'Working List'!$A$331</definedName>
    <definedName name="M.ZOA">'Working List'!$A$333</definedName>
    <definedName name="Parameters">Parameters!$A$2:$B$28</definedName>
    <definedName name="S.ASC.LISSOCLINUM">'Working List'!$A$130</definedName>
    <definedName name="S.ASC.POLYCARPA">'Working List'!$A$132</definedName>
    <definedName name="S.DCO.AGARICIA">'Working List'!$A$134</definedName>
    <definedName name="S.HCO.ACANTHASTREA">'Working List'!$A$183:$A$185</definedName>
    <definedName name="S.HCO.ACROPORA">'Working List'!$A$136:$A$137</definedName>
    <definedName name="S.HCO.AGARICIA">'Working List'!$A$140:$A$145</definedName>
    <definedName name="S.HCO.ALVEOPORA">'Working List'!$A$198</definedName>
    <definedName name="S.HCO.ANACROPORA">'Working List'!$A$200</definedName>
    <definedName name="S.HCO.ASTREA">'Working List'!$A$203</definedName>
    <definedName name="S.HCO.ASTREOPORA">'Working List'!$A$205:$A$206</definedName>
    <definedName name="S.HCO.BARABATTOIA">'Working List'!$A$209</definedName>
    <definedName name="S.HCO.CAULASTREA">'Working List'!$A$211</definedName>
    <definedName name="S.HCO.COELOSERIS">'Working List'!$A$214</definedName>
    <definedName name="S.HCO.COLPOPHYLLIA">'Working List'!$A$148</definedName>
    <definedName name="S.HCO.COSCINARAEA">'Working List'!$A$217</definedName>
    <definedName name="S.HCO.CTENACTIS">'Working List'!$A$219</definedName>
    <definedName name="S.HCO.CYCLOSERIS">'Working List'!$A$221</definedName>
    <definedName name="S.HCO.CYPHASTREA">'Working List'!$A$223</definedName>
    <definedName name="S.HCO.DENDROGYRA">'Working List'!$A$151</definedName>
    <definedName name="S.HCO.DICHOCOENIA">'Working List'!$A$154</definedName>
    <definedName name="S.HCO.DIPLOASTREA">'Working List'!$A$226</definedName>
    <definedName name="S.HCO.DIPLORIA">'Working List'!$A$157</definedName>
    <definedName name="S.HCO.DUNCANOPSAMMIA">'Working List'!$A$229</definedName>
    <definedName name="S.HCO.ECHINOPHYLLIA">'Working List'!$A$231</definedName>
    <definedName name="S.HCO.ECHINOPORA">'Working List'!$A$233</definedName>
    <definedName name="S.HCO.EUPHYLLIA">'Working List'!$A$236</definedName>
    <definedName name="S.HCO.EUSMILIA">'Working List'!$A$160</definedName>
    <definedName name="S.HCO.FAVIA">'Working List'!$A$163</definedName>
    <definedName name="S.HCO.FAVITES">'Working List'!$A$243:$A$246</definedName>
    <definedName name="S.HCO.FUNGIA">'Working List'!$A$249</definedName>
    <definedName name="S.HCO.GALAXEA">'Working List'!$A$252</definedName>
    <definedName name="S.HCO.GARDINEROSERIS">'Working List'!$A$255</definedName>
    <definedName name="S.HCO.GONIASTREA">'Working List'!$A$257:$A$260</definedName>
    <definedName name="S.HCO.GONIOPORA">'Working List'!$A$263</definedName>
    <definedName name="S.HCO.HALOMITRA">'Working List'!$A$266</definedName>
    <definedName name="S.HCO.HELIOFUNGIA">'Working List'!$A$268</definedName>
    <definedName name="S.HCO.HELIOPORA">'Working List'!$A$271</definedName>
    <definedName name="S.HCO.HELIOSERIS">'Working List'!$A$166</definedName>
    <definedName name="S.HCO.HERPOLITHA">'Working List'!$A$273</definedName>
    <definedName name="S.HCO.HYDNOPHORA">'Working List'!$A$275</definedName>
    <definedName name="S.HCO.ISOPHYLLIA">'Working List'!$A$277</definedName>
    <definedName name="S.HCO.ISOPORA">'Working List'!$A$279</definedName>
    <definedName name="S.HCO.LEPTASTREA">'Working List'!$A$282</definedName>
    <definedName name="S.HCO.LEPTORIA">'Working List'!$A$285</definedName>
    <definedName name="S.HCO.LEPTOSERIS">'Working List'!$A$288</definedName>
    <definedName name="S.HCO.LITHOPHYLLON">'Working List'!$A$291</definedName>
    <definedName name="S.HCO.LOBOPHYLLIA">'Working List'!$A$293:$A$294</definedName>
    <definedName name="S.HCO.MADRACIS">'Working List'!$A$169</definedName>
    <definedName name="S.HCO.MEANDRINA">'Working List'!$A$172:$A$173</definedName>
    <definedName name="S.HCO.MERULINA">'Working List'!$A$297</definedName>
    <definedName name="S.HCO.MONTASTRAEA">'Working List'!$A$176</definedName>
    <definedName name="S.HCO.MONTASTREA">'Working List'!$A$300:$A$301</definedName>
    <definedName name="S.HCO.MONTIPORA">'Working List'!$A$304</definedName>
    <definedName name="S.HCO.MYCEDIUM">'Working List'!$A$306</definedName>
    <definedName name="S.HCO.MYCETOPHYLLIA">'Working List'!$A$179</definedName>
    <definedName name="S.HCO.ORBICELLA">'Working List'!$A$181:$A$183</definedName>
    <definedName name="S.HCO.OULOPHYLLIA">'Working List'!$A$309</definedName>
    <definedName name="S.HCO.OXYPORA">'Working List'!$A$312:$A$315</definedName>
    <definedName name="S.HCO.PACHYSERIS">'Working List'!$A$318</definedName>
    <definedName name="S.HCO.PALAUASTREA">'Working List'!$A$321</definedName>
    <definedName name="S.HCO.PARACLAVARINA">'Working List'!$A$323</definedName>
    <definedName name="S.HCO.PAVONA">'Working List'!$A$325</definedName>
    <definedName name="S.HCO.PECTINIA">'Working List'!$A$327</definedName>
    <definedName name="S.HCO.PHYSOGYRA">'Working List'!$A$330</definedName>
    <definedName name="S.HCO.PLATYGYRA">'Working List'!$A$332</definedName>
    <definedName name="S.HCO.PLEROGYRA">'Working List'!$A$335</definedName>
    <definedName name="S.HCO.PLESIASTREA">'Working List'!$A$338</definedName>
    <definedName name="S.HCO.POCILLOPORA">'Working List'!$A$340</definedName>
    <definedName name="S.HCO.PODABACIA">'Working List'!$A$343</definedName>
    <definedName name="S.HCO.POLYPHYLLIA">'Working List'!$A$346</definedName>
    <definedName name="S.HCO.PORITES">'Working List'!$A$186:$A$189</definedName>
    <definedName name="S.HCO.PSAMMOCORA">'Working List'!$A$359:$A$360</definedName>
    <definedName name="S.HCO.PSEUDODIPLORIA">'Working List'!$A$192:$A$193</definedName>
    <definedName name="S.HCO.SANDALOLITHA">'Working List'!$A$363</definedName>
    <definedName name="S.HCO.SCAPOPHYLLIA">'Working List'!$A$365</definedName>
    <definedName name="S.HCO.SCOLYMIA">'Working List'!$A$367</definedName>
    <definedName name="S.HCO.SERIATOPORA">'Working List'!$A$369</definedName>
    <definedName name="S.HCO.SIDERASTREA">'Working List'!$A$196:$A$197</definedName>
    <definedName name="S.HCO.SOLENASTREA">'Working List'!$A$200</definedName>
    <definedName name="S.HCO.STEPHANOCOENIA">'Working List'!$A$203</definedName>
    <definedName name="S.HCO.STYLOCOENIELLA">'Working List'!$A$371</definedName>
    <definedName name="S.HCO.STYLOPHORA">'Working List'!$A$373</definedName>
    <definedName name="S.HCO.SYMPHYLLIA">'Working List'!$A$375</definedName>
    <definedName name="S.HCO.TRACHYPHYLLIA">'Working List'!$A$377</definedName>
    <definedName name="S.HCO.TUBASTREA">'Working List'!$A$379</definedName>
    <definedName name="S.HCO.TURBINARIA">'Working List'!$A$381</definedName>
    <definedName name="S.HCO.XENIA">'Working List'!$A$383</definedName>
    <definedName name="S.HCO.ZOOPILUS">'Working List'!$A$385</definedName>
    <definedName name="S.INV.GASTROPOD_SPP.">'Working List'!$A$206</definedName>
    <definedName name="S.MAA.AMPHIROA_SPP.">'Working List'!$A$208</definedName>
    <definedName name="S.MAA.CAULERPA_SPP.">'Working List'!$A$210</definedName>
    <definedName name="S.MAA.CODIUM_SPP.">'Working List'!$A$212</definedName>
    <definedName name="S.MAA.DICTYOTA_SPP.">'Working List'!$A$214</definedName>
    <definedName name="S.MAA.FUZZ_BALL">'Working List'!$A$216</definedName>
    <definedName name="S.MAA.GALAXAURA_SPP.">'Working List'!$A$218</definedName>
    <definedName name="S.MAA.HALIMEDA_SPP.">'Working List'!$A$220</definedName>
    <definedName name="S.MAA.LOBOPHORA_SPP.">'Working List'!$A$222</definedName>
    <definedName name="S.MAA.PADINA_SPP.">'Working List'!$A$224</definedName>
    <definedName name="S.MAA.SARGASSUM">'Working List'!$A$226</definedName>
    <definedName name="S.MAA.TRICLEOCARPA_SPP.">'Working List'!$A$228</definedName>
    <definedName name="S.MAA.TURBINARIA_SPP.">'Working List'!$A$230</definedName>
    <definedName name="S.MAA.UDOTEA_SPP.">'Working List'!$A$232</definedName>
    <definedName name="S.MAA.UNKOWN">'Working List'!$A$399</definedName>
    <definedName name="S.MAA.VALONIA_SPP.">'Working List'!$A$234</definedName>
    <definedName name="S.MAA.VENTRICOSA">'Working List'!$A$236</definedName>
    <definedName name="S.MAA.WRANGLIA">'Working List'!$A$238</definedName>
    <definedName name="S.MIL.BRANCHING">'Working List'!$A$240</definedName>
    <definedName name="S.MIL.PLATING">'Working List'!$A$242</definedName>
    <definedName name="S.SCO.ANTHELIA">'Working List'!$A$403</definedName>
    <definedName name="S.SCO.ASTEROSPICULARIA">'Working List'!$A$405</definedName>
    <definedName name="S.SCO.ASTROGORGIA">'Working List'!$A$407</definedName>
    <definedName name="S.SCO.BRIAREUM">'Working List'!$A$409</definedName>
    <definedName name="S.SCO.CESPITULARIA">'Working List'!$A$411</definedName>
    <definedName name="S.SCO.CLADIELLA">'Working List'!$A$413</definedName>
    <definedName name="S.SCO.CLAVULARIA">'Working List'!$A$415</definedName>
    <definedName name="S.SCO.GORGONIA">'Working List'!$A$417</definedName>
    <definedName name="S.SCO.ISIS">'Working List'!$A$419</definedName>
    <definedName name="S.SCO.KLYXUM">'Working List'!$A$421</definedName>
    <definedName name="S.SCO.LOBOPHYTUM">'Working List'!$A$423</definedName>
    <definedName name="S.SCO.NEPHTHEA">'Working List'!$A$425</definedName>
    <definedName name="S.SCO.PINNIGORGIA">'Working List'!$A$427</definedName>
    <definedName name="S.SCO.SARCOPHYTON">'Working List'!$A$429</definedName>
    <definedName name="S.SCO.SCLERONEPHTHYA">'Working List'!$A$431</definedName>
    <definedName name="S.SCO.SINULARIA">'Working List'!$A$433</definedName>
    <definedName name="S.SCO.TUBIPORA">'Working List'!$A$435</definedName>
    <definedName name="S.SCO.UNKNOWN">'Working List'!$A$244</definedName>
    <definedName name="S.SCO.XENIA">'Working List'!$A$439</definedName>
    <definedName name="S.SPO.BARREL_SPONGE">'Working List'!$A$246</definedName>
    <definedName name="S.SPO.BUSHY_SPONGE">'Working List'!$A$248</definedName>
    <definedName name="S.SPO.ENCRUSTING_SPONGE">'Working List'!$A$250</definedName>
    <definedName name="S.SPO.GLOBE_SPONGE">'Working List'!$A$252</definedName>
    <definedName name="S.SPO.ROD_SPONGE">'Working List'!$A$254</definedName>
    <definedName name="S.SPO.TUBE_SPONGE">'Working List'!$A$256</definedName>
    <definedName name="S.SPO.VASE_SPONGE">'Working List'!$A$258</definedName>
    <definedName name="SiteInfo">Site_info!$A$2:$P$105</definedName>
  </definedNames>
  <calcPr calcId="191029"/>
  <customWorkbookViews>
    <customWorkbookView name="Filter 1" guid="{4C576465-87A1-48E4-A798-EAB00064CE05}"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79" l="1"/>
  <c r="B7" i="79" l="1"/>
  <c r="E3" i="5" l="1"/>
  <c r="D3" i="5"/>
  <c r="C3" i="5"/>
  <c r="B3" i="5"/>
  <c r="A3" i="5"/>
</calcChain>
</file>

<file path=xl/sharedStrings.xml><?xml version="1.0" encoding="utf-8"?>
<sst xmlns="http://schemas.openxmlformats.org/spreadsheetml/2006/main" count="2199" uniqueCount="693">
  <si>
    <t>Date</t>
  </si>
  <si>
    <t>Year</t>
  </si>
  <si>
    <t>Site</t>
  </si>
  <si>
    <t>Transect</t>
  </si>
  <si>
    <t>BenthicCat</t>
  </si>
  <si>
    <t>Morphology</t>
  </si>
  <si>
    <t>Genus</t>
  </si>
  <si>
    <t>Species</t>
  </si>
  <si>
    <t>RCK</t>
  </si>
  <si>
    <t>CCA</t>
  </si>
  <si>
    <t>DCA</t>
  </si>
  <si>
    <t>Millepora</t>
  </si>
  <si>
    <t>ASC</t>
  </si>
  <si>
    <t>BRY</t>
  </si>
  <si>
    <t>INV</t>
  </si>
  <si>
    <t>Anemone</t>
  </si>
  <si>
    <t>Ascidian</t>
  </si>
  <si>
    <t>Coraline Crustose Algae</t>
  </si>
  <si>
    <t>Other</t>
  </si>
  <si>
    <t>Rubble</t>
  </si>
  <si>
    <t>Rock</t>
  </si>
  <si>
    <t>Sand</t>
  </si>
  <si>
    <t>Macroalgae</t>
  </si>
  <si>
    <t>Silt</t>
  </si>
  <si>
    <t>Sponge</t>
  </si>
  <si>
    <t>Unknown</t>
  </si>
  <si>
    <t>Water</t>
  </si>
  <si>
    <t>Zooanthid</t>
  </si>
  <si>
    <t>Zone</t>
  </si>
  <si>
    <t>Intercept_m</t>
  </si>
  <si>
    <t>Depth</t>
  </si>
  <si>
    <t>Aldrids</t>
  </si>
  <si>
    <t>Black coral</t>
  </si>
  <si>
    <t>Banco Capiro, Tela</t>
  </si>
  <si>
    <t>N 15.86496 W 87.49841</t>
  </si>
  <si>
    <t>Encrusting gorgonian</t>
  </si>
  <si>
    <t>Bryozoan</t>
  </si>
  <si>
    <t>Sea fan</t>
  </si>
  <si>
    <t>Sea plume</t>
  </si>
  <si>
    <t>N 15.86351 W 87.49525</t>
  </si>
  <si>
    <t>Dead Coral</t>
  </si>
  <si>
    <t>Sea rod</t>
  </si>
  <si>
    <t>Canyon</t>
  </si>
  <si>
    <t>N 15.86414 W 87.50662</t>
  </si>
  <si>
    <t>Dead Coral with Algae</t>
  </si>
  <si>
    <t>Hard Coral</t>
  </si>
  <si>
    <t>Other Invertebrate</t>
  </si>
  <si>
    <t>Kisci's Garden</t>
  </si>
  <si>
    <t>N 15.86550 W 87.50017</t>
  </si>
  <si>
    <t>PEY</t>
  </si>
  <si>
    <t>Peysonnellia</t>
  </si>
  <si>
    <t>Mushroom Mountain</t>
  </si>
  <si>
    <t>N 15.86497 W 87.4973</t>
  </si>
  <si>
    <t>Soft Coral</t>
  </si>
  <si>
    <t>Rotonda</t>
  </si>
  <si>
    <t>N 15.86561 W 87.50680</t>
  </si>
  <si>
    <t>Turf Algae</t>
  </si>
  <si>
    <t>Acropora</t>
  </si>
  <si>
    <t>cervicornis</t>
  </si>
  <si>
    <t>palmata</t>
  </si>
  <si>
    <t>Agaricia</t>
  </si>
  <si>
    <t>agaricites</t>
  </si>
  <si>
    <t>fragilis</t>
  </si>
  <si>
    <t>grahamae</t>
  </si>
  <si>
    <t>humilis</t>
  </si>
  <si>
    <t>lamarcki</t>
  </si>
  <si>
    <t>tenuifolia</t>
  </si>
  <si>
    <t>Colpophyllia</t>
  </si>
  <si>
    <t>natans</t>
  </si>
  <si>
    <t>Dendrogyra</t>
  </si>
  <si>
    <t>cylindricus</t>
  </si>
  <si>
    <t>Dichocoenia</t>
  </si>
  <si>
    <t>stokesii</t>
  </si>
  <si>
    <t>Diploria</t>
  </si>
  <si>
    <t>labyrinthiformis</t>
  </si>
  <si>
    <t>Eusmilia</t>
  </si>
  <si>
    <t>fastigiata</t>
  </si>
  <si>
    <t>Favia</t>
  </si>
  <si>
    <t>fragum</t>
  </si>
  <si>
    <t>Helioseris</t>
  </si>
  <si>
    <t>cucullata</t>
  </si>
  <si>
    <t>Madracis</t>
  </si>
  <si>
    <t>auretenra</t>
  </si>
  <si>
    <t>Montastraea</t>
  </si>
  <si>
    <t>cavernosa</t>
  </si>
  <si>
    <t>Meandrina</t>
  </si>
  <si>
    <t>jacksoni</t>
  </si>
  <si>
    <t>meandrites</t>
  </si>
  <si>
    <t>Mycetophyllia</t>
  </si>
  <si>
    <t>Orbicella</t>
  </si>
  <si>
    <t>annularis</t>
  </si>
  <si>
    <t>faveolata</t>
  </si>
  <si>
    <t>franksi</t>
  </si>
  <si>
    <t>Porites</t>
  </si>
  <si>
    <t>astreoides</t>
  </si>
  <si>
    <t>Pseudodiploria</t>
  </si>
  <si>
    <t>clivosa</t>
  </si>
  <si>
    <t>furcata</t>
  </si>
  <si>
    <t>porites</t>
  </si>
  <si>
    <t>strigosa</t>
  </si>
  <si>
    <t>Solenastrea</t>
  </si>
  <si>
    <t>bournoni</t>
  </si>
  <si>
    <t>Stephanocoenia</t>
  </si>
  <si>
    <t>intersepta</t>
  </si>
  <si>
    <t>Siderastrea</t>
  </si>
  <si>
    <t>radians</t>
  </si>
  <si>
    <t>siderea</t>
  </si>
  <si>
    <t>Sargassum</t>
  </si>
  <si>
    <t>Turbinaria</t>
  </si>
  <si>
    <t>Ventricosa</t>
  </si>
  <si>
    <t>Wranglia</t>
  </si>
  <si>
    <t>Notes</t>
  </si>
  <si>
    <t>Fuzz ball</t>
  </si>
  <si>
    <t>Caulerpa spp.</t>
  </si>
  <si>
    <t>Codium spp.</t>
  </si>
  <si>
    <t>Galaxaura spp.</t>
  </si>
  <si>
    <t>Lobophora spp.</t>
  </si>
  <si>
    <t>Padina spp.</t>
  </si>
  <si>
    <t>Tricleocarpa spp.</t>
  </si>
  <si>
    <t>Turbinaria spp.</t>
  </si>
  <si>
    <t>Udotea spp.</t>
  </si>
  <si>
    <t>Valonia spp.</t>
  </si>
  <si>
    <t>Scolymia</t>
  </si>
  <si>
    <t>BenthicCode</t>
  </si>
  <si>
    <t>BenthicName</t>
  </si>
  <si>
    <t>SpeciesName</t>
  </si>
  <si>
    <t>GenusName</t>
  </si>
  <si>
    <t>MorphologyCode</t>
  </si>
  <si>
    <t>MorphologyName</t>
  </si>
  <si>
    <t>HN</t>
  </si>
  <si>
    <t>MG</t>
  </si>
  <si>
    <t>ID</t>
  </si>
  <si>
    <t>CMPH</t>
  </si>
  <si>
    <t>Coralimorph spp.</t>
  </si>
  <si>
    <t>CRIN</t>
  </si>
  <si>
    <t>Crinoid spp.</t>
  </si>
  <si>
    <t>HYDR</t>
  </si>
  <si>
    <t>Hydroid spp.</t>
  </si>
  <si>
    <t>SCUC</t>
  </si>
  <si>
    <t>Sea cucumber spp.</t>
  </si>
  <si>
    <t>TUNI</t>
  </si>
  <si>
    <t>Tunicate spp.</t>
  </si>
  <si>
    <t>URCH</t>
  </si>
  <si>
    <t>Sea urchin spp.</t>
  </si>
  <si>
    <t>MIL</t>
  </si>
  <si>
    <t>BRAN</t>
  </si>
  <si>
    <t>PLAT</t>
  </si>
  <si>
    <t>Plating</t>
  </si>
  <si>
    <t>Y</t>
  </si>
  <si>
    <t>Branching coral</t>
  </si>
  <si>
    <t>ENCR</t>
  </si>
  <si>
    <t>Encrusting coral</t>
  </si>
  <si>
    <t>MASS</t>
  </si>
  <si>
    <t>Massive coral</t>
  </si>
  <si>
    <t>TABU</t>
  </si>
  <si>
    <t>Tabulate coral</t>
  </si>
  <si>
    <t>HCO</t>
  </si>
  <si>
    <t>MAA</t>
  </si>
  <si>
    <t>formosa</t>
  </si>
  <si>
    <t>hyacinthus</t>
  </si>
  <si>
    <t>millepora</t>
  </si>
  <si>
    <t>secale</t>
  </si>
  <si>
    <t>gigas</t>
  </si>
  <si>
    <t>Anacropora</t>
  </si>
  <si>
    <t>forbesi</t>
  </si>
  <si>
    <t>Astreopora</t>
  </si>
  <si>
    <t>incrustans</t>
  </si>
  <si>
    <t>ocellata</t>
  </si>
  <si>
    <t>Caulastrea</t>
  </si>
  <si>
    <t>Coeloseris</t>
  </si>
  <si>
    <t>mayeri</t>
  </si>
  <si>
    <t>Cyphastrea</t>
  </si>
  <si>
    <t>microphthalma</t>
  </si>
  <si>
    <t>Diploastrea</t>
  </si>
  <si>
    <t>heliopora</t>
  </si>
  <si>
    <t>Echinopora</t>
  </si>
  <si>
    <t>mammiformis</t>
  </si>
  <si>
    <t>Euryale</t>
  </si>
  <si>
    <t>aspera</t>
  </si>
  <si>
    <t>favus</t>
  </si>
  <si>
    <t>stelligera</t>
  </si>
  <si>
    <t>Favites</t>
  </si>
  <si>
    <t>abdita</t>
  </si>
  <si>
    <t>complanata</t>
  </si>
  <si>
    <t>pentagona</t>
  </si>
  <si>
    <t>vasta</t>
  </si>
  <si>
    <t>Fungia</t>
  </si>
  <si>
    <t>fungites</t>
  </si>
  <si>
    <t>Galaxea</t>
  </si>
  <si>
    <t>fascicularis</t>
  </si>
  <si>
    <t>Goniastrea</t>
  </si>
  <si>
    <t>australensis</t>
  </si>
  <si>
    <t>favulus</t>
  </si>
  <si>
    <t>palauensis</t>
  </si>
  <si>
    <t>retiformis</t>
  </si>
  <si>
    <t>Goniopora</t>
  </si>
  <si>
    <t>columna</t>
  </si>
  <si>
    <t>Heliofungia</t>
  </si>
  <si>
    <t>actiniformis</t>
  </si>
  <si>
    <t>Isopora</t>
  </si>
  <si>
    <t>palifera</t>
  </si>
  <si>
    <t>Leptastrea</t>
  </si>
  <si>
    <t>transversa</t>
  </si>
  <si>
    <t>Leptoria</t>
  </si>
  <si>
    <t>phrygia</t>
  </si>
  <si>
    <t>Leptoseris</t>
  </si>
  <si>
    <t>explanata</t>
  </si>
  <si>
    <t>Lobophyllia</t>
  </si>
  <si>
    <t>corymbosa</t>
  </si>
  <si>
    <t>hemprichii</t>
  </si>
  <si>
    <t>Merulina</t>
  </si>
  <si>
    <t>scabricula</t>
  </si>
  <si>
    <t>valenciennesi</t>
  </si>
  <si>
    <t>Montastrea</t>
  </si>
  <si>
    <t>curta</t>
  </si>
  <si>
    <t>magnistellata</t>
  </si>
  <si>
    <t>stellata</t>
  </si>
  <si>
    <t>Mycedium</t>
  </si>
  <si>
    <t>robokaki</t>
  </si>
  <si>
    <t>Oulophyllia</t>
  </si>
  <si>
    <t>bennettae</t>
  </si>
  <si>
    <t>Oxypora</t>
  </si>
  <si>
    <t>lacera</t>
  </si>
  <si>
    <t>Pachyseris</t>
  </si>
  <si>
    <t>gemmae</t>
  </si>
  <si>
    <t>speciosa</t>
  </si>
  <si>
    <t>varians</t>
  </si>
  <si>
    <t>Pectinia</t>
  </si>
  <si>
    <t>alcicornis</t>
  </si>
  <si>
    <t>sinensis</t>
  </si>
  <si>
    <t>Plerogyra</t>
  </si>
  <si>
    <t>versipora</t>
  </si>
  <si>
    <t>Pocillopora</t>
  </si>
  <si>
    <t>eydouxi</t>
  </si>
  <si>
    <t>Podabacia</t>
  </si>
  <si>
    <t>crustacea</t>
  </si>
  <si>
    <t>australiensis</t>
  </si>
  <si>
    <t>clyindrica</t>
  </si>
  <si>
    <t>lichen</t>
  </si>
  <si>
    <t>lobata</t>
  </si>
  <si>
    <t>monticulosa</t>
  </si>
  <si>
    <t>sillimaniana</t>
  </si>
  <si>
    <t>Psammocora</t>
  </si>
  <si>
    <t>haimeana</t>
  </si>
  <si>
    <t>profundacella</t>
  </si>
  <si>
    <t>caliendrum</t>
  </si>
  <si>
    <t>pistillata</t>
  </si>
  <si>
    <t>stellulata</t>
  </si>
  <si>
    <t>Amphiroa spp.</t>
  </si>
  <si>
    <t>Dictyota spp.</t>
  </si>
  <si>
    <t>Halimeda spp.</t>
  </si>
  <si>
    <t>Rhipocephalus spp.</t>
  </si>
  <si>
    <t>ANE</t>
  </si>
  <si>
    <t>CYA</t>
  </si>
  <si>
    <t>Cyanobacteria</t>
  </si>
  <si>
    <t>DCO</t>
  </si>
  <si>
    <t>OTH</t>
  </si>
  <si>
    <t>RBB</t>
  </si>
  <si>
    <t>SAN</t>
  </si>
  <si>
    <t>SCO</t>
  </si>
  <si>
    <t>SGR</t>
  </si>
  <si>
    <t>Seagrass</t>
  </si>
  <si>
    <t>SIL</t>
  </si>
  <si>
    <t>SPO</t>
  </si>
  <si>
    <t>TAL</t>
  </si>
  <si>
    <t>UNK</t>
  </si>
  <si>
    <t>WAT</t>
  </si>
  <si>
    <t>ZOA</t>
  </si>
  <si>
    <t>BALL</t>
  </si>
  <si>
    <t>Ball sponge</t>
  </si>
  <si>
    <t>BARR</t>
  </si>
  <si>
    <t>Barrel sponge</t>
  </si>
  <si>
    <t>ROPE</t>
  </si>
  <si>
    <t>Rope sponge</t>
  </si>
  <si>
    <t>VASE</t>
  </si>
  <si>
    <t>Vase sponge</t>
  </si>
  <si>
    <t>Lissoclinum</t>
  </si>
  <si>
    <t>Polycarpa</t>
  </si>
  <si>
    <t>Acanthastrea</t>
  </si>
  <si>
    <t>Alveopora</t>
  </si>
  <si>
    <t>Astrea</t>
  </si>
  <si>
    <t>Barabattoia</t>
  </si>
  <si>
    <t>Coscinaraea</t>
  </si>
  <si>
    <t>Ctenactis</t>
  </si>
  <si>
    <t>Cycloseris</t>
  </si>
  <si>
    <t>Duncanopsammia</t>
  </si>
  <si>
    <t>Echinophyllia</t>
  </si>
  <si>
    <t>Euphyllia</t>
  </si>
  <si>
    <t>Gardineroseris</t>
  </si>
  <si>
    <t>Halomitra</t>
  </si>
  <si>
    <t>Heliopora</t>
  </si>
  <si>
    <t>Herpolitha</t>
  </si>
  <si>
    <t>Hydnophora</t>
  </si>
  <si>
    <t>Isophyllia</t>
  </si>
  <si>
    <t>Lithophyllon</t>
  </si>
  <si>
    <t>Montipora</t>
  </si>
  <si>
    <t>Palauastrea</t>
  </si>
  <si>
    <t>Paraclavarina</t>
  </si>
  <si>
    <t>Pavona</t>
  </si>
  <si>
    <t>Physogyra</t>
  </si>
  <si>
    <t>Platygyra</t>
  </si>
  <si>
    <t>Plesiastrea</t>
  </si>
  <si>
    <t>Polyphyllia</t>
  </si>
  <si>
    <t>Sandalolitha</t>
  </si>
  <si>
    <t>Scapophyllia</t>
  </si>
  <si>
    <t>Seriatopora</t>
  </si>
  <si>
    <t>Stylocoeniella</t>
  </si>
  <si>
    <t>Stylophora</t>
  </si>
  <si>
    <t>Symphyllia</t>
  </si>
  <si>
    <t>Trachyphyllia</t>
  </si>
  <si>
    <t>Tubastrea</t>
  </si>
  <si>
    <t>Xenia</t>
  </si>
  <si>
    <t>Zoopilus</t>
  </si>
  <si>
    <t>Unkown</t>
  </si>
  <si>
    <t>Anthelia</t>
  </si>
  <si>
    <t>Asterospicularia</t>
  </si>
  <si>
    <t>Astrogorgia</t>
  </si>
  <si>
    <t>Briareum</t>
  </si>
  <si>
    <t>Cespitularia</t>
  </si>
  <si>
    <t>Cladiella</t>
  </si>
  <si>
    <t>Clavularia</t>
  </si>
  <si>
    <t>Gorgonia</t>
  </si>
  <si>
    <t>Isis</t>
  </si>
  <si>
    <t>Klyxum</t>
  </si>
  <si>
    <t>Lobophytum</t>
  </si>
  <si>
    <t>Nephthea</t>
  </si>
  <si>
    <t>Pinnigorgia</t>
  </si>
  <si>
    <t>Sarcophyton</t>
  </si>
  <si>
    <t>Scleronephthya</t>
  </si>
  <si>
    <t>Sinularia</t>
  </si>
  <si>
    <t>Tubipora</t>
  </si>
  <si>
    <t>bowerbankii</t>
  </si>
  <si>
    <t>echinata</t>
  </si>
  <si>
    <t>sinuosa</t>
  </si>
  <si>
    <t>crassispinosa</t>
  </si>
  <si>
    <t>glabra</t>
  </si>
  <si>
    <t>BCW</t>
  </si>
  <si>
    <t>Black Coral Wall</t>
  </si>
  <si>
    <t>Utila</t>
  </si>
  <si>
    <t>N 16.08305968 W 86.91699554</t>
  </si>
  <si>
    <t>COV</t>
  </si>
  <si>
    <t>Coral View</t>
  </si>
  <si>
    <t>N 16.08823274 W 86.91094506</t>
  </si>
  <si>
    <t>LIB</t>
  </si>
  <si>
    <t>Little Bight</t>
  </si>
  <si>
    <t>N 16.07926302 W 86.92942222</t>
  </si>
  <si>
    <t>LIG</t>
  </si>
  <si>
    <t>Lighthouse</t>
  </si>
  <si>
    <t>N 16.08498 W 86.90032</t>
  </si>
  <si>
    <t>STU</t>
  </si>
  <si>
    <t>Sturch Bank</t>
  </si>
  <si>
    <t>N 16.089602 W 86.9035006</t>
  </si>
  <si>
    <t>Stingray Point</t>
  </si>
  <si>
    <t>N 16.0689055 W 86.95477948</t>
  </si>
  <si>
    <t>ALD</t>
  </si>
  <si>
    <t>BUT</t>
  </si>
  <si>
    <t>Butter Fingers</t>
  </si>
  <si>
    <t>CAN</t>
  </si>
  <si>
    <t>KIS</t>
  </si>
  <si>
    <t>MMO</t>
  </si>
  <si>
    <t>ROT</t>
  </si>
  <si>
    <t>3C</t>
  </si>
  <si>
    <t>4C</t>
  </si>
  <si>
    <t>Atnam</t>
  </si>
  <si>
    <t xml:space="preserve">Gorgone </t>
  </si>
  <si>
    <t>Louann</t>
  </si>
  <si>
    <t>Buoy 3</t>
  </si>
  <si>
    <t>05°28.40S  123°45.45E</t>
  </si>
  <si>
    <t>KAL</t>
  </si>
  <si>
    <t>Kaledupa 1</t>
  </si>
  <si>
    <t>05°28.22S  123°43.47E</t>
  </si>
  <si>
    <t>KDS</t>
  </si>
  <si>
    <t>Kaledupa Double Spur</t>
  </si>
  <si>
    <t>05°27.432S  123°42.412E</t>
  </si>
  <si>
    <t>Pak Kasims</t>
  </si>
  <si>
    <t>05°27.569S  123°45.179E</t>
  </si>
  <si>
    <t>Ridge 1</t>
  </si>
  <si>
    <t>05°26.565S  123°45.138E</t>
  </si>
  <si>
    <t>SAM</t>
  </si>
  <si>
    <t>Sampela</t>
  </si>
  <si>
    <t>05°28.975S  123°44.95E</t>
  </si>
  <si>
    <t>Site Name</t>
  </si>
  <si>
    <t>Area</t>
  </si>
  <si>
    <t>Coordinates</t>
  </si>
  <si>
    <t>Active</t>
  </si>
  <si>
    <t>Country</t>
  </si>
  <si>
    <t>MD</t>
  </si>
  <si>
    <t>Hoga</t>
  </si>
  <si>
    <t>Tela</t>
  </si>
  <si>
    <t>Parameter Name:</t>
  </si>
  <si>
    <t>Year:</t>
  </si>
  <si>
    <t>Reef Code</t>
  </si>
  <si>
    <t>Area Code</t>
  </si>
  <si>
    <t>Build for Area Code:</t>
  </si>
  <si>
    <t>Calculated Values (do not change)</t>
  </si>
  <si>
    <t>Value</t>
  </si>
  <si>
    <t>Area Country:</t>
  </si>
  <si>
    <t>COLU</t>
  </si>
  <si>
    <t>Columnar coral</t>
  </si>
  <si>
    <t>DIGI</t>
  </si>
  <si>
    <t>Digitate coral</t>
  </si>
  <si>
    <t>FOLI</t>
  </si>
  <si>
    <t>Foliose coral</t>
  </si>
  <si>
    <t>LAMI</t>
  </si>
  <si>
    <t>Laminar coral</t>
  </si>
  <si>
    <t>SUBM</t>
  </si>
  <si>
    <t>Submassive coral</t>
  </si>
  <si>
    <t>SEAS</t>
  </si>
  <si>
    <t>Sea star spp.</t>
  </si>
  <si>
    <t>CLAM</t>
  </si>
  <si>
    <t>Clam spp.</t>
  </si>
  <si>
    <t>BCOR</t>
  </si>
  <si>
    <t>EGOR</t>
  </si>
  <si>
    <t>MUSH</t>
  </si>
  <si>
    <t>Mushroom coral</t>
  </si>
  <si>
    <t>SFAN</t>
  </si>
  <si>
    <t>SPLU</t>
  </si>
  <si>
    <t>SROD</t>
  </si>
  <si>
    <t>SWHI</t>
  </si>
  <si>
    <t>Sea Whip</t>
  </si>
  <si>
    <t>BENTHIC_CODE</t>
  </si>
  <si>
    <t>M.ANE</t>
  </si>
  <si>
    <t>M.ASC</t>
  </si>
  <si>
    <t>M.BRY</t>
  </si>
  <si>
    <t>M.CCA</t>
  </si>
  <si>
    <t>M.CYA</t>
  </si>
  <si>
    <t>M.DCA</t>
  </si>
  <si>
    <t>M.DCO</t>
  </si>
  <si>
    <t>M.HCO</t>
  </si>
  <si>
    <t>M.INV</t>
  </si>
  <si>
    <t>M.MAA</t>
  </si>
  <si>
    <t>M.MIL</t>
  </si>
  <si>
    <t>M.OTH</t>
  </si>
  <si>
    <t>M.PEY</t>
  </si>
  <si>
    <t>M.RBB</t>
  </si>
  <si>
    <t>M.RCK</t>
  </si>
  <si>
    <t>M.SAN</t>
  </si>
  <si>
    <t>M.SCO</t>
  </si>
  <si>
    <t>M.SGR</t>
  </si>
  <si>
    <t>M.SIL</t>
  </si>
  <si>
    <t>M.SPO</t>
  </si>
  <si>
    <t>M.TAL</t>
  </si>
  <si>
    <t>M.UNK</t>
  </si>
  <si>
    <t>M.WAT</t>
  </si>
  <si>
    <t>M.ZOA</t>
  </si>
  <si>
    <t>&lt;--- Automatically calculated from the current date</t>
  </si>
  <si>
    <t>&lt;--- This changes automatically depending on the Area Code</t>
  </si>
  <si>
    <t>spp.</t>
  </si>
  <si>
    <t>Branching</t>
  </si>
  <si>
    <t>MX</t>
  </si>
  <si>
    <t>BO3</t>
  </si>
  <si>
    <t>PKK</t>
  </si>
  <si>
    <t>RD1</t>
  </si>
  <si>
    <t>ATN</t>
  </si>
  <si>
    <t>Akumal</t>
  </si>
  <si>
    <t>G.ANE</t>
  </si>
  <si>
    <t>G.ASC</t>
  </si>
  <si>
    <t>G.BRY</t>
  </si>
  <si>
    <t>G.CCA</t>
  </si>
  <si>
    <t>G.CYA</t>
  </si>
  <si>
    <t>G.DCA</t>
  </si>
  <si>
    <t>G.DCO</t>
  </si>
  <si>
    <t>G.HCO</t>
  </si>
  <si>
    <t>G.INV</t>
  </si>
  <si>
    <t>G.MAA</t>
  </si>
  <si>
    <t>G.MIL</t>
  </si>
  <si>
    <t>G.OTH</t>
  </si>
  <si>
    <t>G.PEY</t>
  </si>
  <si>
    <t>G.RBB</t>
  </si>
  <si>
    <t>G.RCK</t>
  </si>
  <si>
    <t>G.SAN</t>
  </si>
  <si>
    <t>G.SCO</t>
  </si>
  <si>
    <t>G.SGR</t>
  </si>
  <si>
    <t>G.SIL</t>
  </si>
  <si>
    <t>G.SPO</t>
  </si>
  <si>
    <t>G.TAL</t>
  </si>
  <si>
    <t>G.UNK</t>
  </si>
  <si>
    <t>G.WAT</t>
  </si>
  <si>
    <t>G.ZOA</t>
  </si>
  <si>
    <t>This data is dynamically created by the 'RefreshDynamicList' macro</t>
  </si>
  <si>
    <t>The RefreshDynamicList macro builds all the possible dynamic pick lists for the Genus/Species and Morphology country specific lists</t>
  </si>
  <si>
    <t xml:space="preserve">Range names are setup by the macro in the name format of &lt;G/M&gt;.&lt;BENTHICCODE&gt; or &lt;S&gt;.&lt;BENTHICCODE&gt;.&lt;GENUS&gt; </t>
  </si>
  <si>
    <t>S.ASC.Polycarpa</t>
  </si>
  <si>
    <t>S.ASC.Lissoclinum</t>
  </si>
  <si>
    <t>S.HCO.Acropora</t>
  </si>
  <si>
    <t>S.HCO.Favia</t>
  </si>
  <si>
    <t>S.HCO.Porites</t>
  </si>
  <si>
    <t>S.MAA.Caulerpa spp.</t>
  </si>
  <si>
    <t>S.MAA.Dictyota spp.</t>
  </si>
  <si>
    <t>S.MAA.Halimeda spp.</t>
  </si>
  <si>
    <t>S.MAA.Padina spp.</t>
  </si>
  <si>
    <t>S.MAA.Turbinaria spp.</t>
  </si>
  <si>
    <t>S.MAA.Udotea spp.</t>
  </si>
  <si>
    <t>S.MAA.Valonia spp.</t>
  </si>
  <si>
    <t>S.SCO.Unknown</t>
  </si>
  <si>
    <t>&lt;&lt;&lt;&lt; This must be one of the 'Area Code' values from the 'Site_info' sheet</t>
  </si>
  <si>
    <t>Encrusting sponge</t>
  </si>
  <si>
    <t>divaricata</t>
  </si>
  <si>
    <t>Buoy 2</t>
  </si>
  <si>
    <t>BO2</t>
  </si>
  <si>
    <t>B2</t>
  </si>
  <si>
    <t>B3</t>
  </si>
  <si>
    <t>PK</t>
  </si>
  <si>
    <t>R1</t>
  </si>
  <si>
    <t>K1</t>
  </si>
  <si>
    <t>S</t>
  </si>
  <si>
    <t>CV</t>
  </si>
  <si>
    <t>LB</t>
  </si>
  <si>
    <t>SB</t>
  </si>
  <si>
    <t>SP</t>
  </si>
  <si>
    <t>LH</t>
  </si>
  <si>
    <t>BF</t>
  </si>
  <si>
    <t>KG</t>
  </si>
  <si>
    <t>MM</t>
  </si>
  <si>
    <t>BOY</t>
  </si>
  <si>
    <t>AKS</t>
  </si>
  <si>
    <t>VMO</t>
  </si>
  <si>
    <t>AMO</t>
  </si>
  <si>
    <t>HMB</t>
  </si>
  <si>
    <t>HMS</t>
  </si>
  <si>
    <t>Viv La Boya</t>
  </si>
  <si>
    <t>Viv Morgan</t>
  </si>
  <si>
    <t>Acer Morgan</t>
  </si>
  <si>
    <t>Half Moon Bay (VivAcer ML)</t>
  </si>
  <si>
    <t>Half Moon Bay Shallow (Viv ML Apal)</t>
  </si>
  <si>
    <t>20.38909°N, 087.31017°W</t>
  </si>
  <si>
    <t>20.23308°N, 087.18312°W</t>
  </si>
  <si>
    <t>20.39484°N, 087.30689°W</t>
  </si>
  <si>
    <t>20.234458°N, 87.182300°W</t>
  </si>
  <si>
    <t>20.40443°N, 087.30125°W</t>
  </si>
  <si>
    <t>20.40515°N, 087.30168°W</t>
  </si>
  <si>
    <t>control</t>
  </si>
  <si>
    <t xml:space="preserve">restored </t>
  </si>
  <si>
    <t>restored (best)</t>
  </si>
  <si>
    <t>restored (Elkhorn coral)</t>
  </si>
  <si>
    <t>AT</t>
  </si>
  <si>
    <t>LO</t>
  </si>
  <si>
    <t>GG</t>
  </si>
  <si>
    <t>NT</t>
  </si>
  <si>
    <t>La Ensenada, Tela</t>
  </si>
  <si>
    <t>LUL</t>
  </si>
  <si>
    <t>PMV</t>
  </si>
  <si>
    <t>Palm View</t>
  </si>
  <si>
    <t>Canary Road</t>
  </si>
  <si>
    <t>CNR</t>
  </si>
  <si>
    <t>N 15.79714 W 87.44496</t>
  </si>
  <si>
    <t>Lullaby</t>
  </si>
  <si>
    <t>N 15.80013 W 87.44414</t>
  </si>
  <si>
    <t>N 15.80338 W 87.43922</t>
  </si>
  <si>
    <t>Encrusting Zoanthid</t>
  </si>
  <si>
    <t>1st</t>
  </si>
  <si>
    <t>2nd</t>
  </si>
  <si>
    <t>Old Code</t>
  </si>
  <si>
    <t>Survey Depths or Description</t>
  </si>
  <si>
    <t>C</t>
  </si>
  <si>
    <t>SRP</t>
  </si>
  <si>
    <t>Globe sponge</t>
  </si>
  <si>
    <t>Rod sponge</t>
  </si>
  <si>
    <t>Tube sponge</t>
  </si>
  <si>
    <t>Bushy sponge</t>
  </si>
  <si>
    <t>MAZ</t>
  </si>
  <si>
    <t>SPB</t>
  </si>
  <si>
    <t>The Maze</t>
  </si>
  <si>
    <t>SpBay</t>
  </si>
  <si>
    <t>Spotted Bay</t>
  </si>
  <si>
    <t>Maze</t>
  </si>
  <si>
    <t>NEL</t>
  </si>
  <si>
    <t>Nellys</t>
  </si>
  <si>
    <t>Nelly's island</t>
  </si>
  <si>
    <t>N 15.80017 W 87.44264</t>
  </si>
  <si>
    <t>PV2</t>
  </si>
  <si>
    <t>Palm View 2</t>
  </si>
  <si>
    <t>Cayos Cochinos</t>
  </si>
  <si>
    <t>ARE</t>
  </si>
  <si>
    <t>Arena</t>
  </si>
  <si>
    <t>ELA</t>
  </si>
  <si>
    <t>ElAvion</t>
  </si>
  <si>
    <t>El Avion</t>
  </si>
  <si>
    <t>Jenna2</t>
  </si>
  <si>
    <t>PE0</t>
  </si>
  <si>
    <t>Peli0</t>
  </si>
  <si>
    <t>Peli 0</t>
  </si>
  <si>
    <t>PE2</t>
  </si>
  <si>
    <t>Peli2</t>
  </si>
  <si>
    <t>Peli 2</t>
  </si>
  <si>
    <t>PE4</t>
  </si>
  <si>
    <t>Peli4</t>
  </si>
  <si>
    <t>Peli 4</t>
  </si>
  <si>
    <t>3rd</t>
  </si>
  <si>
    <t>Gastropod spp.</t>
  </si>
  <si>
    <t>S.DCO.Agaricia</t>
  </si>
  <si>
    <t>S.HCO.Agaricia</t>
  </si>
  <si>
    <t>S.HCO.Colpophyllia</t>
  </si>
  <si>
    <t>S.HCO.Dendrogyra</t>
  </si>
  <si>
    <t>S.HCO.Dichocoenia</t>
  </si>
  <si>
    <t>S.HCO.Diploria</t>
  </si>
  <si>
    <t>S.HCO.Eusmilia</t>
  </si>
  <si>
    <t>S.HCO.Helioseris</t>
  </si>
  <si>
    <t>S.HCO.Madracis</t>
  </si>
  <si>
    <t>S.HCO.Meandrina</t>
  </si>
  <si>
    <t>S.HCO.Montastraea</t>
  </si>
  <si>
    <t>S.HCO.Mycetophyllia</t>
  </si>
  <si>
    <t>S.HCO.Orbicella</t>
  </si>
  <si>
    <t>S.HCO.Pseudodiploria</t>
  </si>
  <si>
    <t>S.HCO.Siderastrea</t>
  </si>
  <si>
    <t>S.HCO.Solenastrea</t>
  </si>
  <si>
    <t>S.HCO.Stephanocoenia</t>
  </si>
  <si>
    <t>S.INV.Gastropod spp.</t>
  </si>
  <si>
    <t>S.MAA.Amphiroa spp.</t>
  </si>
  <si>
    <t>S.MAA.Codium spp.</t>
  </si>
  <si>
    <t>S.MAA.Fuzz ball</t>
  </si>
  <si>
    <t>S.MAA.Galaxaura spp.</t>
  </si>
  <si>
    <t>S.MAA.Lobophora spp.</t>
  </si>
  <si>
    <t>S.MAA.Sargassum</t>
  </si>
  <si>
    <t>S.MAA.Tricleocarpa spp.</t>
  </si>
  <si>
    <t>S.MAA.Ventricosa</t>
  </si>
  <si>
    <t>S.MAA.Wranglia</t>
  </si>
  <si>
    <t>S.MIL.Branching</t>
  </si>
  <si>
    <t>S.MIL.Plating</t>
  </si>
  <si>
    <t>S.SPO.Barrel sponge</t>
  </si>
  <si>
    <t>S.SPO.Bushy sponge</t>
  </si>
  <si>
    <t>S.SPO.Encrusting sponge</t>
  </si>
  <si>
    <t>S.SPO.Globe sponge</t>
  </si>
  <si>
    <t>S.SPO.Rod sponge</t>
  </si>
  <si>
    <t>S.SPO.Tube sponge</t>
  </si>
  <si>
    <t>S.SPO.Vase sponge</t>
  </si>
  <si>
    <t>F</t>
  </si>
  <si>
    <t>Transect Length</t>
  </si>
  <si>
    <t>Transect Count</t>
  </si>
  <si>
    <t>Completed %</t>
  </si>
  <si>
    <t>StatusSVS</t>
  </si>
  <si>
    <t>Surveyed</t>
  </si>
  <si>
    <t>EMObs initialized</t>
  </si>
  <si>
    <t>Processing</t>
  </si>
  <si>
    <t>Measuring done</t>
  </si>
  <si>
    <t>Done</t>
  </si>
  <si>
    <t>Status3D</t>
  </si>
  <si>
    <t>Photos ready</t>
  </si>
  <si>
    <t>Model ready</t>
  </si>
  <si>
    <t>Depths</t>
  </si>
  <si>
    <t>SVS</t>
  </si>
  <si>
    <t>3D</t>
  </si>
  <si>
    <t>PercentSVS</t>
  </si>
  <si>
    <t>Percent3D</t>
  </si>
  <si>
    <t xml:space="preserve"> </t>
  </si>
  <si>
    <t>Missing</t>
  </si>
  <si>
    <t>Stopped surveying 2024</t>
  </si>
  <si>
    <t>Started surveying 2024</t>
  </si>
  <si>
    <t>BUSH</t>
  </si>
  <si>
    <t>GLOB</t>
  </si>
  <si>
    <t>TUBE</t>
  </si>
  <si>
    <t>RODS</t>
  </si>
  <si>
    <t>pacificus</t>
  </si>
  <si>
    <t>maritima</t>
  </si>
  <si>
    <t>paraflexuosus</t>
  </si>
  <si>
    <t>verweyi</t>
  </si>
  <si>
    <t>GRG</t>
  </si>
  <si>
    <t>LAN</t>
  </si>
  <si>
    <t>NSK</t>
  </si>
  <si>
    <t>NTG</t>
  </si>
  <si>
    <t>OPW</t>
  </si>
  <si>
    <t>Nosy Sakatia</t>
  </si>
  <si>
    <t>Nosy Tanga</t>
  </si>
  <si>
    <t>Opwall</t>
  </si>
  <si>
    <t>Nosy Be</t>
  </si>
  <si>
    <t>-13.493638, 47.859802</t>
  </si>
  <si>
    <t>-13.422709, 48.218617</t>
  </si>
  <si>
    <t>-13.379970, 48.143688</t>
  </si>
  <si>
    <t>-13.319556, 48.153293</t>
  </si>
  <si>
    <t>-13.369941, 48.177363</t>
  </si>
  <si>
    <t>-13.388920, 48.189610</t>
  </si>
  <si>
    <t>Also known as: Banc des gorgones, Gorgones</t>
  </si>
  <si>
    <t>Also known as: 3C, Sukotia</t>
  </si>
  <si>
    <t>Also known as: Nosy Tonga</t>
  </si>
  <si>
    <t>Also known as: 4C, Sexy Sixty</t>
  </si>
  <si>
    <t>Nosy</t>
  </si>
  <si>
    <t>JEN</t>
  </si>
  <si>
    <t>Jenna's Cave</t>
  </si>
  <si>
    <t>N 15.932361 W 86.530833</t>
  </si>
  <si>
    <t>N 15.95103333 W 86.47372500</t>
  </si>
  <si>
    <t>N 15.96316389 W 86.50096111</t>
  </si>
  <si>
    <t>N 15.97449722 W 86.48825278</t>
  </si>
  <si>
    <t>N 15.97966111 W 86.48153889</t>
  </si>
  <si>
    <t>N 15.98091111 W 86.47851667</t>
  </si>
  <si>
    <t>A large bowl near Cayo Arena formed by a rounded coral wall and a surrounding crest at approximately 6m depth. The centre of the bowl reaches a maximum depth of 13m.</t>
  </si>
  <si>
    <t>A moderately exposed reef slope near Cayo Redondo exhibiting a gradual gradient reaching between 14 – 20m depth</t>
  </si>
  <si>
    <t>A steep reef wall on the northwest coast of Cayo Menor reaching depths of approximately 15m with large coral outcrops extending seawards.</t>
  </si>
  <si>
    <t>A gradual reef slope situated on a promontory of the larger island Cayo Meyor in the channel between the two islands. The reef extends to a depth of over 30m</t>
  </si>
  <si>
    <t>A steep reef wall extending to a maximum depth of between 20 – 25m on the northwest coast of Cayo Meyor.</t>
  </si>
  <si>
    <t>A steep reef wall surrounded by extensive sand flats at approximately 15 – 20m depth on the northwest coast of Cayo Meyor.</t>
  </si>
  <si>
    <t>Flat</t>
  </si>
  <si>
    <t>Crest</t>
  </si>
  <si>
    <t>Slope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</si>
</sst>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 mmm\ yyyy"/>
  </numFmts>
  <fonts count="14" x14ac:knownFonts="1">
    <font>
      <sz val="10"/>
      <color rgb="FF000000"/>
      <name val="Arial"/>
    </font>
    <font>
      <b/>
      <sz val="11"/>
      <color rgb="FF000000"/>
      <name val="Arial"/>
      <family val="2"/>
    </font>
    <font>
      <b/>
      <sz val="11"/>
      <name val="Arial"/>
      <family val="2"/>
    </font>
    <font>
      <sz val="10"/>
      <color theme="0" tint="-0.249977111117893"/>
      <name val="Arial"/>
      <family val="2"/>
    </font>
    <font>
      <sz val="11"/>
      <color rgb="FF000000"/>
      <name val="Calibri"/>
      <family val="2"/>
      <scheme val="minor"/>
    </font>
    <font>
      <sz val="11"/>
      <color rgb="FF222222"/>
      <name val="Calibri"/>
      <family val="2"/>
      <scheme val="minor"/>
    </font>
    <font>
      <b/>
      <sz val="10"/>
      <color rgb="FF000000"/>
      <name val="Arial"/>
      <family val="2"/>
    </font>
    <font>
      <sz val="10"/>
      <color rgb="FF000000"/>
      <name val="Arial"/>
      <family val="2"/>
    </font>
    <font>
      <sz val="8"/>
      <color rgb="FF000000"/>
      <name val="Arial"/>
      <family val="2"/>
    </font>
    <font>
      <sz val="8"/>
      <name val="Arial"/>
      <family val="2"/>
    </font>
    <font>
      <b/>
      <sz val="8"/>
      <color rgb="FF000000"/>
      <name val="Arial"/>
      <family val="2"/>
    </font>
    <font>
      <sz val="10"/>
      <color rgb="FF000000"/>
      <name val="Arial"/>
      <family val="2"/>
    </font>
    <font>
      <sz val="10"/>
      <name val="Arial"/>
      <family val="2"/>
    </font>
    <font>
      <sz val="10"/>
      <color rgb="FF000000"/>
      <name val="Arial"/>
    </font>
  </fonts>
  <fills count="7">
    <fill>
      <patternFill patternType="none"/>
    </fill>
    <fill>
      <patternFill patternType="gray125"/>
    </fill>
    <fill>
      <patternFill patternType="solid">
        <fgColor theme="1"/>
        <bgColor indexed="64"/>
      </patternFill>
    </fill>
    <fill>
      <patternFill patternType="solid">
        <fgColor theme="8" tint="0.79998168889431442"/>
        <bgColor indexed="64"/>
      </patternFill>
    </fill>
    <fill>
      <patternFill patternType="solid">
        <fgColor rgb="FFDDEBF7"/>
        <bgColor indexed="64"/>
      </patternFill>
    </fill>
    <fill>
      <patternFill patternType="solid">
        <fgColor rgb="FFFFFF00"/>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7" fillId="0" borderId="0"/>
    <xf numFmtId="9" fontId="11" fillId="0" borderId="0" applyFont="0" applyFill="0" applyBorder="0" applyAlignment="0" applyProtection="0"/>
    <xf numFmtId="0" fontId="13" fillId="0" borderId="0"/>
    <xf numFmtId="9" fontId="7" fillId="0" borderId="0" applyFont="0" applyFill="0" applyBorder="0" applyAlignment="0" applyProtection="0"/>
  </cellStyleXfs>
  <cellXfs count="59">
    <xf numFmtId="0" fontId="0" fillId="0" borderId="0" xfId="0"/>
    <xf numFmtId="0" fontId="1" fillId="0" borderId="0" xfId="0" applyFont="1"/>
    <xf numFmtId="0" fontId="2" fillId="0" borderId="0" xfId="0" applyFont="1"/>
    <xf numFmtId="0" fontId="0" fillId="2" borderId="0" xfId="0" applyFill="1"/>
    <xf numFmtId="0" fontId="0" fillId="3" borderId="0" xfId="0" applyFill="1" applyProtection="1">
      <protection locked="0"/>
    </xf>
    <xf numFmtId="0" fontId="3" fillId="0" borderId="0" xfId="0" applyFont="1"/>
    <xf numFmtId="0" fontId="6" fillId="0" borderId="0" xfId="0" applyFont="1"/>
    <xf numFmtId="0" fontId="7" fillId="0" borderId="0" xfId="0" applyFont="1"/>
    <xf numFmtId="0" fontId="7" fillId="3" borderId="0" xfId="0" applyFont="1" applyFill="1" applyProtection="1">
      <protection locked="0"/>
    </xf>
    <xf numFmtId="0" fontId="8" fillId="0" borderId="0" xfId="0" applyFont="1"/>
    <xf numFmtId="0" fontId="0" fillId="0" borderId="0" xfId="0" applyAlignment="1">
      <alignment horizontal="left"/>
    </xf>
    <xf numFmtId="0" fontId="6" fillId="0" borderId="0" xfId="0" applyFont="1" applyAlignment="1">
      <alignment horizontal="left"/>
    </xf>
    <xf numFmtId="0" fontId="0" fillId="4" borderId="0" xfId="0" applyFill="1" applyProtection="1">
      <protection locked="0"/>
    </xf>
    <xf numFmtId="164" fontId="8" fillId="0" borderId="0" xfId="0" applyNumberFormat="1" applyFont="1"/>
    <xf numFmtId="164" fontId="1" fillId="0" borderId="0" xfId="0" applyNumberFormat="1" applyFont="1"/>
    <xf numFmtId="164" fontId="3" fillId="0" borderId="0" xfId="0" applyNumberFormat="1" applyFont="1"/>
    <xf numFmtId="164" fontId="0" fillId="2" borderId="0" xfId="0" applyNumberFormat="1" applyFill="1"/>
    <xf numFmtId="0" fontId="6" fillId="0" borderId="2" xfId="0" applyFont="1" applyBorder="1"/>
    <xf numFmtId="0" fontId="7" fillId="0" borderId="2" xfId="0" applyFont="1" applyBorder="1"/>
    <xf numFmtId="0" fontId="0" fillId="0" borderId="2" xfId="0" applyBorder="1"/>
    <xf numFmtId="0" fontId="0" fillId="0" borderId="2" xfId="0" applyBorder="1" applyAlignment="1">
      <alignment horizontal="left"/>
    </xf>
    <xf numFmtId="0" fontId="0" fillId="0" borderId="0" xfId="0" applyAlignment="1">
      <alignment vertical="top"/>
    </xf>
    <xf numFmtId="49" fontId="7" fillId="0" borderId="0" xfId="0" applyNumberFormat="1" applyFont="1"/>
    <xf numFmtId="0" fontId="6" fillId="0" borderId="0" xfId="0" applyFont="1" applyAlignment="1">
      <alignment vertical="top" textRotation="90"/>
    </xf>
    <xf numFmtId="0" fontId="6" fillId="0" borderId="0" xfId="0" applyFont="1" applyAlignment="1">
      <alignment horizontal="center" vertical="top" textRotation="90"/>
    </xf>
    <xf numFmtId="0" fontId="6" fillId="0" borderId="0" xfId="0" applyFont="1" applyAlignment="1">
      <alignment horizontal="center" vertical="top" textRotation="90" wrapText="1"/>
    </xf>
    <xf numFmtId="0" fontId="0" fillId="0" borderId="0" xfId="0" applyAlignment="1">
      <alignment vertical="top" textRotation="90"/>
    </xf>
    <xf numFmtId="0" fontId="10" fillId="0" borderId="0" xfId="0" applyFont="1" applyAlignment="1">
      <alignment horizontal="center"/>
    </xf>
    <xf numFmtId="49" fontId="0" fillId="0" borderId="0" xfId="0" applyNumberFormat="1"/>
    <xf numFmtId="49" fontId="6" fillId="0" borderId="0" xfId="0" applyNumberFormat="1" applyFont="1" applyAlignment="1">
      <alignment horizontal="center" vertical="top" textRotation="90"/>
    </xf>
    <xf numFmtId="49" fontId="5" fillId="0" borderId="0" xfId="0" applyNumberFormat="1" applyFont="1"/>
    <xf numFmtId="0" fontId="0" fillId="0" borderId="0" xfId="0" applyAlignment="1">
      <alignment horizontal="center"/>
    </xf>
    <xf numFmtId="0" fontId="5" fillId="0" borderId="0" xfId="0" applyFont="1" applyAlignment="1">
      <alignment horizontal="center"/>
    </xf>
    <xf numFmtId="0" fontId="7" fillId="0" borderId="0" xfId="0" applyFont="1" applyAlignment="1">
      <alignment horizontal="center"/>
    </xf>
    <xf numFmtId="9" fontId="7" fillId="3" borderId="0" xfId="2" applyFont="1" applyFill="1" applyProtection="1">
      <protection locked="0"/>
    </xf>
    <xf numFmtId="0" fontId="0" fillId="0" borderId="0" xfId="0" applyAlignment="1">
      <alignment horizontal="right"/>
    </xf>
    <xf numFmtId="0" fontId="7" fillId="0" borderId="0" xfId="0" applyFont="1" applyAlignment="1">
      <alignment horizontal="right"/>
    </xf>
    <xf numFmtId="9" fontId="7" fillId="0" borderId="0" xfId="0" applyNumberFormat="1" applyFont="1" applyAlignment="1">
      <alignment horizontal="left"/>
    </xf>
    <xf numFmtId="164" fontId="12" fillId="3" borderId="0" xfId="0" applyNumberFormat="1" applyFont="1" applyFill="1"/>
    <xf numFmtId="0" fontId="6" fillId="0" borderId="0" xfId="3" applyFont="1"/>
    <xf numFmtId="0" fontId="13" fillId="0" borderId="0" xfId="3"/>
    <xf numFmtId="0" fontId="7" fillId="0" borderId="0" xfId="3" applyFont="1"/>
    <xf numFmtId="0" fontId="6" fillId="0" borderId="1" xfId="3" applyFont="1" applyBorder="1"/>
    <xf numFmtId="0" fontId="7" fillId="5" borderId="0" xfId="3" applyFont="1" applyFill="1"/>
    <xf numFmtId="0" fontId="13" fillId="5" borderId="0" xfId="3" applyFill="1"/>
    <xf numFmtId="0" fontId="0" fillId="6" borderId="0" xfId="0" applyFill="1"/>
    <xf numFmtId="0" fontId="7" fillId="6" borderId="0" xfId="0" applyFont="1" applyFill="1"/>
    <xf numFmtId="49" fontId="0" fillId="6" borderId="0" xfId="0" applyNumberFormat="1" applyFill="1"/>
    <xf numFmtId="0" fontId="5" fillId="6" borderId="0" xfId="0" applyFont="1" applyFill="1" applyAlignment="1">
      <alignment horizontal="center"/>
    </xf>
    <xf numFmtId="0" fontId="0" fillId="6" borderId="0" xfId="0" applyFill="1" applyAlignment="1">
      <alignment horizontal="center"/>
    </xf>
    <xf numFmtId="0" fontId="6" fillId="6" borderId="0" xfId="0" applyFont="1" applyFill="1" applyAlignment="1">
      <alignment horizontal="center" vertical="top"/>
    </xf>
    <xf numFmtId="0" fontId="7" fillId="6" borderId="0" xfId="0" applyFont="1" applyFill="1" applyAlignment="1">
      <alignment horizontal="center"/>
    </xf>
    <xf numFmtId="49" fontId="7" fillId="6" borderId="0" xfId="0" applyNumberFormat="1" applyFont="1" applyFill="1"/>
    <xf numFmtId="49" fontId="4" fillId="6" borderId="0" xfId="0" applyNumberFormat="1" applyFont="1" applyFill="1"/>
    <xf numFmtId="0" fontId="4" fillId="6" borderId="0" xfId="0" applyFont="1" applyFill="1" applyAlignment="1">
      <alignment horizontal="center"/>
    </xf>
    <xf numFmtId="49" fontId="5" fillId="6" borderId="0" xfId="0" applyNumberFormat="1" applyFont="1" applyFill="1"/>
    <xf numFmtId="49" fontId="0" fillId="6" borderId="0" xfId="0" applyNumberFormat="1" applyFill="1" applyAlignment="1">
      <alignment horizontal="left"/>
    </xf>
    <xf numFmtId="49" fontId="7" fillId="6" borderId="0" xfId="0" applyNumberFormat="1" applyFont="1" applyFill="1" applyAlignment="1">
      <alignment horizontal="left" vertical="top"/>
    </xf>
    <xf numFmtId="0" fontId="10" fillId="0" borderId="0" xfId="0" applyFont="1" applyAlignment="1">
      <alignment horizontal="center"/>
    </xf>
  </cellXfs>
  <cellStyles count="5">
    <cellStyle name="Normal" xfId="0" builtinId="0"/>
    <cellStyle name="Normal 2" xfId="1" xr:uid="{89413829-81A9-48C8-9A12-B92167184B12}"/>
    <cellStyle name="Normal 2 2" xfId="3" xr:uid="{FDCD6B3C-08E1-41EF-A41E-295DA834F15F}"/>
    <cellStyle name="Per cent" xfId="2" builtinId="5"/>
    <cellStyle name="Per cent 2" xfId="4" xr:uid="{4B0E1BE0-CDAE-4B46-BD06-50B0A7923FF9}"/>
  </cellStyles>
  <dxfs count="11">
    <dxf>
      <font>
        <b val="0"/>
        <i val="0"/>
        <strike val="0"/>
        <condense val="0"/>
        <extend val="0"/>
        <outline val="0"/>
        <shadow val="0"/>
        <u val="none"/>
        <vertAlign val="baseline"/>
        <sz val="10"/>
        <color rgb="FF000000"/>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val="0"/>
        <i val="0"/>
        <strike val="0"/>
        <condense val="0"/>
        <extend val="0"/>
        <outline val="0"/>
        <shadow val="0"/>
        <u val="none"/>
        <vertAlign val="baseline"/>
        <sz val="10"/>
        <color rgb="FF000000"/>
        <name val="Arial"/>
        <family val="2"/>
        <scheme val="none"/>
      </font>
    </dxf>
    <dxf>
      <font>
        <b/>
        <i val="0"/>
        <strike val="0"/>
        <condense val="0"/>
        <extend val="0"/>
        <outline val="0"/>
        <shadow val="0"/>
        <u val="none"/>
        <vertAlign val="baseline"/>
        <sz val="10"/>
        <color rgb="FF000000"/>
        <name val="Arial"/>
        <family val="2"/>
        <scheme val="none"/>
      </font>
    </dxf>
  </dxfs>
  <tableStyles count="0" defaultTableStyle="TableStyleMedium2" defaultPivotStyle="PivotStyleLight16"/>
  <colors>
    <mruColors>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8</xdr:col>
      <xdr:colOff>133350</xdr:colOff>
      <xdr:row>0</xdr:row>
      <xdr:rowOff>9525</xdr:rowOff>
    </xdr:from>
    <xdr:to>
      <xdr:col>13</xdr:col>
      <xdr:colOff>247650</xdr:colOff>
      <xdr:row>7</xdr:row>
      <xdr:rowOff>95250</xdr:rowOff>
    </xdr:to>
    <xdr:sp macro="" textlink="">
      <xdr:nvSpPr>
        <xdr:cNvPr id="2" name="TextBox 1">
          <a:extLst>
            <a:ext uri="{FF2B5EF4-FFF2-40B4-BE49-F238E27FC236}">
              <a16:creationId xmlns:a16="http://schemas.microsoft.com/office/drawing/2014/main" id="{77C1915F-5CB6-4DD6-BFF0-B261B3876F7A}"/>
            </a:ext>
          </a:extLst>
        </xdr:cNvPr>
        <xdr:cNvSpPr txBox="1"/>
      </xdr:nvSpPr>
      <xdr:spPr>
        <a:xfrm>
          <a:off x="6661150" y="12700"/>
          <a:ext cx="31623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You</a:t>
          </a:r>
          <a:r>
            <a:rPr lang="en-GB" sz="1100" baseline="0"/>
            <a:t> can insert additional country columns as required (an example of a country column is 'HN' or 'MG'. Two letter ISO country codes should be used.</a:t>
          </a:r>
        </a:p>
        <a:p>
          <a:r>
            <a:rPr lang="en-GB" sz="1100" baseline="0"/>
            <a:t>If anything is changed then go to View&gt;Marcos&gt;View Macros and run 'CreateDynamicList</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142875</xdr:colOff>
      <xdr:row>0</xdr:row>
      <xdr:rowOff>38100</xdr:rowOff>
    </xdr:from>
    <xdr:to>
      <xdr:col>13</xdr:col>
      <xdr:colOff>257175</xdr:colOff>
      <xdr:row>7</xdr:row>
      <xdr:rowOff>123825</xdr:rowOff>
    </xdr:to>
    <xdr:sp macro="" textlink="">
      <xdr:nvSpPr>
        <xdr:cNvPr id="2" name="TextBox 1">
          <a:extLst>
            <a:ext uri="{FF2B5EF4-FFF2-40B4-BE49-F238E27FC236}">
              <a16:creationId xmlns:a16="http://schemas.microsoft.com/office/drawing/2014/main" id="{A4562F44-4FC3-4FF4-A109-6840C4D4FF3E}"/>
            </a:ext>
          </a:extLst>
        </xdr:cNvPr>
        <xdr:cNvSpPr txBox="1"/>
      </xdr:nvSpPr>
      <xdr:spPr>
        <a:xfrm>
          <a:off x="5289550" y="38100"/>
          <a:ext cx="3162300" cy="1244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You</a:t>
          </a:r>
          <a:r>
            <a:rPr lang="en-GB" sz="1100" baseline="0"/>
            <a:t> can insert additional country columns as required (an exanple of a country column is 'HN' or 'MG'. Two letter ISO country should be used.</a:t>
          </a:r>
        </a:p>
        <a:p>
          <a:r>
            <a:rPr lang="en-GB" sz="1100" baseline="0"/>
            <a:t>If anything is changed then go to View&gt;Marcos&gt;View Macros and run 'CreateDynamicList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104775</xdr:colOff>
      <xdr:row>0</xdr:row>
      <xdr:rowOff>123825</xdr:rowOff>
    </xdr:from>
    <xdr:to>
      <xdr:col>15</xdr:col>
      <xdr:colOff>238125</xdr:colOff>
      <xdr:row>39</xdr:row>
      <xdr:rowOff>57150</xdr:rowOff>
    </xdr:to>
    <xdr:sp macro="" textlink="">
      <xdr:nvSpPr>
        <xdr:cNvPr id="2" name="TextBox 1">
          <a:extLst>
            <a:ext uri="{FF2B5EF4-FFF2-40B4-BE49-F238E27FC236}">
              <a16:creationId xmlns:a16="http://schemas.microsoft.com/office/drawing/2014/main" id="{ADF2653A-869D-4552-46A9-B7BB6229727E}"/>
            </a:ext>
          </a:extLst>
        </xdr:cNvPr>
        <xdr:cNvSpPr txBox="1"/>
      </xdr:nvSpPr>
      <xdr:spPr>
        <a:xfrm>
          <a:off x="6511925" y="123825"/>
          <a:ext cx="3790950" cy="6137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Copy the</a:t>
          </a:r>
          <a:r>
            <a:rPr lang="en-GB" sz="1100" baseline="0"/>
            <a:t> Benthic_Master_Template.xlsm to Benthic_&lt;AreaCode&gt;_&lt;Year&gt;.xlsm e.g. Benthic_Hoga_2024.xslm. The Area Code should be one of the Area Codes in the Site_info worksheet.</a:t>
          </a:r>
        </a:p>
        <a:p>
          <a:endParaRPr lang="en-GB" sz="1100" baseline="0"/>
        </a:p>
        <a:p>
          <a:r>
            <a:rPr lang="en-GB" sz="1100" baseline="0"/>
            <a:t>2. Close the Benthic_Master_Template.xlsm if open</a:t>
          </a: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3. Open the new </a:t>
          </a:r>
          <a:r>
            <a:rPr lang="en-GB" sz="1100" baseline="0">
              <a:solidFill>
                <a:schemeClr val="dk1"/>
              </a:solidFill>
              <a:effectLst/>
              <a:latin typeface="+mn-lt"/>
              <a:ea typeface="+mn-ea"/>
              <a:cs typeface="+mn-cs"/>
            </a:rPr>
            <a:t>Benthic_&lt;AreaCode&gt;_&lt;Year&gt;.xlsm.  You may get a warning message saying there is potential securty concern. Please select 'Enable Macros'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4. On the Parameters sheet change the 'Build for Area Code:' value.  This must be one of the Area Codes in the Site_info worksheet.</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5. Go to View&gt;Macros&gt;View Macros and run 'BuidSurveySheets'.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a:effectLst/>
            </a:rPr>
            <a:t>6. Save and Close the spreadsheet.</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a:effectLst/>
            </a:rPr>
            <a:t>***If you need to adjust anything</a:t>
          </a:r>
          <a:r>
            <a:rPr lang="en-GB" baseline="0">
              <a:effectLst/>
            </a:rPr>
            <a:t> on the 'Benthic.Genus.Species' or the 'Benthic.Morphology' sheets after all the survey worksheets have been created, you must run the macro 'RefreshDynamicList' to make the changes available in the pick lists in the survey sheets***</a:t>
          </a:r>
          <a:endParaRPr lang="en-GB">
            <a:effectLst/>
          </a:endParaRPr>
        </a:p>
        <a:p>
          <a:endParaRPr lang="en-GB"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070ac123cb5becad/Docs/Training/Opwall/Benthic/Final2023/BENTHIC%20MADAGASCAR%202023.xlsx" TargetMode="External"/><Relationship Id="rId1" Type="http://schemas.openxmlformats.org/officeDocument/2006/relationships/externalLinkPath" Target="Final2023/BENTHIC%20MADAGASCAR%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tals"/>
      <sheetName val="OriginalData"/>
      <sheetName val="Compiled Data"/>
      <sheetName val="Codes"/>
      <sheetName val="Benthic.Codes"/>
      <sheetName val="Benthic.Genus.Species"/>
      <sheetName val="Benthic.Morphology"/>
      <sheetName val="Site_info"/>
    </sheetNames>
    <sheetDataSet>
      <sheetData sheetId="0"/>
      <sheetData sheetId="1"/>
      <sheetData sheetId="2"/>
      <sheetData sheetId="3">
        <row r="2">
          <cell r="A2" t="str">
            <v>AN</v>
          </cell>
          <cell r="B2" t="str">
            <v>Anemone</v>
          </cell>
        </row>
        <row r="3">
          <cell r="A3" t="str">
            <v>ASC</v>
          </cell>
          <cell r="B3" t="str">
            <v>Ascidian</v>
          </cell>
        </row>
        <row r="4">
          <cell r="A4" t="str">
            <v>BRY</v>
          </cell>
          <cell r="B4" t="str">
            <v>Bryozoan</v>
          </cell>
        </row>
        <row r="5">
          <cell r="A5" t="str">
            <v>CCA</v>
          </cell>
          <cell r="B5" t="str">
            <v>Coraline Crustose Algae</v>
          </cell>
        </row>
        <row r="6">
          <cell r="A6" t="str">
            <v>DC</v>
          </cell>
          <cell r="B6" t="str">
            <v>Dead Coral</v>
          </cell>
        </row>
        <row r="7">
          <cell r="A7" t="str">
            <v>DCA</v>
          </cell>
          <cell r="B7" t="str">
            <v>Dead Coral with Algae</v>
          </cell>
        </row>
        <row r="8">
          <cell r="A8" t="str">
            <v>HC</v>
          </cell>
          <cell r="B8" t="str">
            <v>Hard Coral</v>
          </cell>
        </row>
        <row r="9">
          <cell r="A9" t="str">
            <v>HYD</v>
          </cell>
          <cell r="B9" t="str">
            <v>Hydroids</v>
          </cell>
        </row>
        <row r="10">
          <cell r="A10" t="str">
            <v>INV</v>
          </cell>
          <cell r="B10" t="str">
            <v>Other Invertebrate</v>
          </cell>
        </row>
        <row r="11">
          <cell r="A11" t="str">
            <v>MA</v>
          </cell>
          <cell r="B11" t="str">
            <v>Macroalgae</v>
          </cell>
        </row>
        <row r="12">
          <cell r="A12" t="str">
            <v>MI</v>
          </cell>
          <cell r="B12" t="str">
            <v>Millepora</v>
          </cell>
        </row>
        <row r="13">
          <cell r="A13" t="str">
            <v>OT</v>
          </cell>
          <cell r="B13" t="str">
            <v>Other</v>
          </cell>
        </row>
        <row r="14">
          <cell r="A14" t="str">
            <v>PEY</v>
          </cell>
          <cell r="B14" t="str">
            <v>Peysonnellia</v>
          </cell>
        </row>
        <row r="15">
          <cell r="A15" t="str">
            <v>RB</v>
          </cell>
          <cell r="B15" t="str">
            <v>Rubble</v>
          </cell>
        </row>
        <row r="16">
          <cell r="A16" t="str">
            <v>RCK</v>
          </cell>
          <cell r="B16" t="str">
            <v>Rock</v>
          </cell>
        </row>
        <row r="17">
          <cell r="A17" t="str">
            <v>S</v>
          </cell>
          <cell r="B17" t="str">
            <v>Sand</v>
          </cell>
        </row>
        <row r="18">
          <cell r="A18" t="str">
            <v>SC</v>
          </cell>
          <cell r="B18" t="str">
            <v>Soft Coral</v>
          </cell>
        </row>
        <row r="19">
          <cell r="A19" t="str">
            <v>SI</v>
          </cell>
          <cell r="B19" t="str">
            <v>Silt</v>
          </cell>
        </row>
        <row r="20">
          <cell r="A20" t="str">
            <v>SP</v>
          </cell>
          <cell r="B20" t="str">
            <v>Sponge</v>
          </cell>
        </row>
        <row r="21">
          <cell r="A21" t="str">
            <v>TA</v>
          </cell>
          <cell r="B21" t="str">
            <v>Turf Algae</v>
          </cell>
        </row>
        <row r="22">
          <cell r="A22" t="str">
            <v>UN</v>
          </cell>
          <cell r="B22" t="str">
            <v>Unknown</v>
          </cell>
        </row>
        <row r="23">
          <cell r="A23" t="str">
            <v>W</v>
          </cell>
          <cell r="B23" t="str">
            <v>Water</v>
          </cell>
        </row>
        <row r="24">
          <cell r="A24" t="str">
            <v>ZO</v>
          </cell>
          <cell r="B24" t="str">
            <v>Zooanthid</v>
          </cell>
        </row>
      </sheetData>
      <sheetData sheetId="4"/>
      <sheetData sheetId="5"/>
      <sheetData sheetId="6"/>
      <sheetData sheetId="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5ED590-D552-45B1-A365-9364BE8B95B3}" name="TableStatusSVS" displayName="TableStatusSVS" ref="A11:B18" totalsRowShown="0" headerRowDxfId="10" dataDxfId="9">
  <autoFilter ref="A11:B18" xr:uid="{295ED590-D552-45B1-A365-9364BE8B95B3}"/>
  <tableColumns count="2">
    <tableColumn id="1" xr3:uid="{F4A5FA47-BF33-4F05-AECE-E1B2B3589998}" name="StatusSVS" dataDxfId="8"/>
    <tableColumn id="2" xr3:uid="{164417D4-0C08-479F-BAC8-DA0A9AC703E0}" name="PercentSVS"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A63962-335D-4182-993C-677DC87D877B}" name="TableStatus3D" displayName="TableStatus3D" ref="A21:B28" totalsRowShown="0" headerRowDxfId="6" dataDxfId="5">
  <autoFilter ref="A21:B28" xr:uid="{EFA63962-335D-4182-993C-677DC87D877B}"/>
  <tableColumns count="2">
    <tableColumn id="1" xr3:uid="{DC10C57D-80A6-4BC9-B317-600D30F9ED87}" name="Status3D" dataDxfId="4"/>
    <tableColumn id="2" xr3:uid="{9B24CAFF-6AEB-40E5-B6B0-74A02C5B7DC6}" name="Percent3D"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8E7CB4-2A6F-4FCE-B599-198CECD36DDF}" name="TableDepths" displayName="TableDepths" ref="A31:A53" totalsRowShown="0" headerRowDxfId="2" dataDxfId="1">
  <autoFilter ref="A31:A53" xr:uid="{A48E7CB4-2A6F-4FCE-B599-198CECD36DDF}"/>
  <tableColumns count="1">
    <tableColumn id="1" xr3:uid="{B366F930-BC63-461F-8B3A-4C97AB1CA684}" name="Depth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15448-6730-4851-ABA8-F5CA1F5AC72C}">
  <sheetPr codeName="Sheet1"/>
  <dimension ref="A1:N10"/>
  <sheetViews>
    <sheetView workbookViewId="0">
      <pane xSplit="5" ySplit="2" topLeftCell="F3" activePane="bottomRight" state="frozen"/>
      <selection pane="topRight" activeCell="F1" sqref="F1"/>
      <selection pane="bottomLeft" activeCell="A3" sqref="A3"/>
      <selection pane="bottomRight" activeCell="I3" sqref="I3"/>
    </sheetView>
  </sheetViews>
  <sheetFormatPr defaultColWidth="8.85546875" defaultRowHeight="12.75" x14ac:dyDescent="0.2"/>
  <cols>
    <col min="1" max="1" width="12" style="16" customWidth="1"/>
    <col min="2" max="2" width="1.28515625" style="3" customWidth="1"/>
    <col min="3" max="3" width="14.5703125" style="3" customWidth="1"/>
    <col min="4" max="4" width="5.42578125" style="3" bestFit="1" customWidth="1"/>
    <col min="5" max="5" width="9.5703125" style="3" bestFit="1" customWidth="1"/>
    <col min="6" max="6" width="11.85546875" style="3" bestFit="1" customWidth="1"/>
    <col min="7" max="7" width="18" style="3" customWidth="1"/>
    <col min="8" max="8" width="16.140625" style="3" customWidth="1"/>
    <col min="9" max="9" width="19.85546875" style="3" customWidth="1"/>
    <col min="10" max="10" width="11.85546875" style="3" bestFit="1" customWidth="1"/>
    <col min="11" max="12" width="8.85546875" style="3"/>
    <col min="13" max="13" width="17.85546875" style="3" customWidth="1"/>
    <col min="14" max="14" width="34.5703125" style="3" customWidth="1"/>
    <col min="15" max="16384" width="8.85546875" style="3"/>
  </cols>
  <sheetData>
    <row r="1" spans="1:14" x14ac:dyDescent="0.2">
      <c r="A1" s="13"/>
      <c r="B1" s="9"/>
      <c r="C1" s="9"/>
      <c r="D1" s="9"/>
      <c r="E1"/>
      <c r="F1"/>
      <c r="G1"/>
      <c r="H1"/>
      <c r="I1"/>
      <c r="J1"/>
    </row>
    <row r="2" spans="1:14" ht="12.2" customHeight="1" x14ac:dyDescent="0.25">
      <c r="A2" s="14" t="s">
        <v>0</v>
      </c>
      <c r="B2" s="1" t="s">
        <v>1</v>
      </c>
      <c r="C2" s="1" t="s">
        <v>2</v>
      </c>
      <c r="D2" s="1" t="s">
        <v>28</v>
      </c>
      <c r="E2" s="1" t="s">
        <v>3</v>
      </c>
      <c r="F2" s="2" t="s">
        <v>4</v>
      </c>
      <c r="G2" s="2" t="s">
        <v>5</v>
      </c>
      <c r="H2" s="2" t="s">
        <v>6</v>
      </c>
      <c r="I2" s="2" t="s">
        <v>7</v>
      </c>
      <c r="J2" s="2" t="s">
        <v>29</v>
      </c>
    </row>
    <row r="3" spans="1:14" ht="12.2" customHeight="1" x14ac:dyDescent="0.2">
      <c r="A3" s="15">
        <f t="shared" ref="A3" si="0">$N$4</f>
        <v>0</v>
      </c>
      <c r="B3" s="5">
        <f t="shared" ref="B3" si="1">$N$5</f>
        <v>2001</v>
      </c>
      <c r="C3" s="5">
        <f t="shared" ref="C3" si="2">$N$6</f>
        <v>0</v>
      </c>
      <c r="D3" s="5">
        <f t="shared" ref="D3" si="3">$N$7</f>
        <v>0</v>
      </c>
      <c r="E3" s="5">
        <f t="shared" ref="E3" si="4">$N$8</f>
        <v>0</v>
      </c>
      <c r="F3" s="4"/>
      <c r="G3" s="12"/>
      <c r="H3" s="12"/>
      <c r="I3" s="12"/>
      <c r="J3">
        <v>0</v>
      </c>
    </row>
    <row r="4" spans="1:14" ht="12.2" customHeight="1" x14ac:dyDescent="0.2">
      <c r="A4" s="15"/>
      <c r="B4" s="5"/>
      <c r="C4" s="5"/>
      <c r="D4" s="5"/>
      <c r="E4" s="5"/>
      <c r="F4" s="4"/>
      <c r="G4" s="12"/>
      <c r="H4" s="12"/>
      <c r="I4" s="12"/>
      <c r="J4"/>
      <c r="M4" s="7" t="s">
        <v>0</v>
      </c>
      <c r="N4" s="38"/>
    </row>
    <row r="5" spans="1:14" ht="12.2" customHeight="1" x14ac:dyDescent="0.2">
      <c r="A5" s="15"/>
      <c r="B5" s="5"/>
      <c r="C5" s="5"/>
      <c r="D5" s="5"/>
      <c r="E5" s="5"/>
      <c r="F5" s="4"/>
      <c r="G5" s="12"/>
      <c r="H5" s="12"/>
      <c r="I5" s="12"/>
      <c r="J5"/>
      <c r="M5" s="7" t="s">
        <v>1</v>
      </c>
      <c r="N5" s="8">
        <v>2001</v>
      </c>
    </row>
    <row r="6" spans="1:14" ht="12.2" customHeight="1" x14ac:dyDescent="0.2">
      <c r="A6" s="15"/>
      <c r="B6" s="5"/>
      <c r="C6" s="5"/>
      <c r="D6" s="5"/>
      <c r="E6" s="5"/>
      <c r="F6" s="4"/>
      <c r="G6" s="12"/>
      <c r="H6" s="12"/>
      <c r="I6" s="12"/>
      <c r="J6"/>
      <c r="M6" s="7" t="s">
        <v>2</v>
      </c>
      <c r="N6" s="8"/>
    </row>
    <row r="7" spans="1:14" ht="12.2" customHeight="1" x14ac:dyDescent="0.2">
      <c r="A7" s="15"/>
      <c r="B7" s="5"/>
      <c r="C7" s="5"/>
      <c r="D7" s="5"/>
      <c r="E7" s="5"/>
      <c r="F7" s="4"/>
      <c r="G7" s="12"/>
      <c r="H7" s="12"/>
      <c r="I7" s="12"/>
      <c r="J7"/>
      <c r="M7" s="7" t="s">
        <v>30</v>
      </c>
      <c r="N7" s="8"/>
    </row>
    <row r="8" spans="1:14" ht="12.2" customHeight="1" x14ac:dyDescent="0.2">
      <c r="A8" s="15"/>
      <c r="B8" s="5"/>
      <c r="C8" s="5"/>
      <c r="D8" s="5"/>
      <c r="E8" s="5"/>
      <c r="F8" s="4"/>
      <c r="G8" s="12"/>
      <c r="H8" s="12"/>
      <c r="I8" s="12"/>
      <c r="J8"/>
      <c r="M8" s="7" t="s">
        <v>3</v>
      </c>
      <c r="N8" s="8"/>
    </row>
    <row r="9" spans="1:14" ht="12.2" customHeight="1" x14ac:dyDescent="0.2">
      <c r="A9" s="15"/>
      <c r="B9" s="5"/>
      <c r="C9" s="5"/>
      <c r="D9" s="5"/>
      <c r="E9" s="5"/>
      <c r="F9" s="4"/>
      <c r="G9" s="12"/>
      <c r="H9" s="12"/>
      <c r="I9" s="12"/>
      <c r="J9"/>
      <c r="M9" s="7" t="s">
        <v>629</v>
      </c>
      <c r="N9" s="34"/>
    </row>
    <row r="10" spans="1:14" ht="12.2" customHeight="1" x14ac:dyDescent="0.2">
      <c r="A10" s="15"/>
      <c r="B10" s="5"/>
      <c r="C10" s="5"/>
      <c r="D10" s="5"/>
      <c r="E10" s="5"/>
      <c r="F10" s="4"/>
      <c r="G10" s="12"/>
      <c r="H10" s="12"/>
      <c r="I10" s="12"/>
      <c r="J10"/>
    </row>
  </sheetData>
  <dataValidations count="6">
    <dataValidation type="list" allowBlank="1" showInputMessage="1" showErrorMessage="1" sqref="N6" xr:uid="{E6C809DF-02CE-4ADD-8750-840DF576B59E}">
      <formula1>"Aldrids, Butterfingers, Kisci's Garden, Rotonda, Mushroom Mountain, Canyon"</formula1>
    </dataValidation>
    <dataValidation type="list" allowBlank="1" showInputMessage="1" showErrorMessage="1" sqref="N8" xr:uid="{F58EAB30-AA1A-4C5A-A288-B64EEB80EA42}">
      <formula1>"1, 2, 3, 4, 5, 6"</formula1>
    </dataValidation>
    <dataValidation type="list" allowBlank="1" showInputMessage="1" showErrorMessage="1" sqref="F3:F10" xr:uid="{A62FC4DA-173E-4FD5-AF46-289F0E61702C}">
      <formula1>BENTHIC_CODE</formula1>
    </dataValidation>
    <dataValidation type="list" allowBlank="1" showInputMessage="1" showErrorMessage="1" sqref="G3:G10" xr:uid="{06343EE2-1481-4044-BA75-2524C21D782C}">
      <formula1>INDIRECT("M."&amp;$F3)</formula1>
    </dataValidation>
    <dataValidation type="list" allowBlank="1" showInputMessage="1" showErrorMessage="1" sqref="H3:H10" xr:uid="{3B96A33E-3303-4C61-880B-7C7A7E7AF933}">
      <formula1>INDIRECT("G."&amp;$F3)</formula1>
    </dataValidation>
    <dataValidation type="list" allowBlank="1" showInputMessage="1" showErrorMessage="1" sqref="I3:I10" xr:uid="{F359DD76-BAE8-46A4-81E8-436D223FEB66}">
      <formula1>INDIRECT("S."&amp;$F3&amp;"."&amp;$H3)</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48D2-C00D-4A8A-A43E-AC178D7C3730}">
  <sheetPr codeName="Sheet5"/>
  <dimension ref="A1:C195"/>
  <sheetViews>
    <sheetView workbookViewId="0">
      <selection activeCell="C195" sqref="C195"/>
    </sheetView>
  </sheetViews>
  <sheetFormatPr defaultRowHeight="12.75" x14ac:dyDescent="0.2"/>
  <cols>
    <col min="1" max="1" width="11.85546875" bestFit="1" customWidth="1"/>
    <col min="2" max="2" width="20.42578125" bestFit="1" customWidth="1"/>
  </cols>
  <sheetData>
    <row r="1" spans="1:2" x14ac:dyDescent="0.2">
      <c r="A1" s="17" t="s">
        <v>123</v>
      </c>
      <c r="B1" s="17" t="s">
        <v>124</v>
      </c>
    </row>
    <row r="2" spans="1:2" x14ac:dyDescent="0.2">
      <c r="A2" s="18" t="s">
        <v>252</v>
      </c>
      <c r="B2" s="19" t="s">
        <v>15</v>
      </c>
    </row>
    <row r="3" spans="1:2" x14ac:dyDescent="0.2">
      <c r="A3" s="19" t="s">
        <v>12</v>
      </c>
      <c r="B3" s="19" t="s">
        <v>16</v>
      </c>
    </row>
    <row r="4" spans="1:2" x14ac:dyDescent="0.2">
      <c r="A4" s="19" t="s">
        <v>13</v>
      </c>
      <c r="B4" s="19" t="s">
        <v>36</v>
      </c>
    </row>
    <row r="5" spans="1:2" x14ac:dyDescent="0.2">
      <c r="A5" s="19" t="s">
        <v>9</v>
      </c>
      <c r="B5" s="19" t="s">
        <v>17</v>
      </c>
    </row>
    <row r="6" spans="1:2" x14ac:dyDescent="0.2">
      <c r="A6" s="19" t="s">
        <v>253</v>
      </c>
      <c r="B6" s="20" t="s">
        <v>254</v>
      </c>
    </row>
    <row r="7" spans="1:2" x14ac:dyDescent="0.2">
      <c r="A7" s="19" t="s">
        <v>10</v>
      </c>
      <c r="B7" s="19" t="s">
        <v>44</v>
      </c>
    </row>
    <row r="8" spans="1:2" x14ac:dyDescent="0.2">
      <c r="A8" s="18" t="s">
        <v>255</v>
      </c>
      <c r="B8" s="19" t="s">
        <v>40</v>
      </c>
    </row>
    <row r="9" spans="1:2" x14ac:dyDescent="0.2">
      <c r="A9" s="18" t="s">
        <v>156</v>
      </c>
      <c r="B9" s="19" t="s">
        <v>45</v>
      </c>
    </row>
    <row r="10" spans="1:2" x14ac:dyDescent="0.2">
      <c r="A10" s="19" t="s">
        <v>14</v>
      </c>
      <c r="B10" s="19" t="s">
        <v>46</v>
      </c>
    </row>
    <row r="11" spans="1:2" x14ac:dyDescent="0.2">
      <c r="A11" s="18" t="s">
        <v>157</v>
      </c>
      <c r="B11" s="19" t="s">
        <v>22</v>
      </c>
    </row>
    <row r="12" spans="1:2" x14ac:dyDescent="0.2">
      <c r="A12" s="18" t="s">
        <v>144</v>
      </c>
      <c r="B12" s="19" t="s">
        <v>11</v>
      </c>
    </row>
    <row r="13" spans="1:2" x14ac:dyDescent="0.2">
      <c r="A13" s="18" t="s">
        <v>256</v>
      </c>
      <c r="B13" s="19" t="s">
        <v>18</v>
      </c>
    </row>
    <row r="14" spans="1:2" x14ac:dyDescent="0.2">
      <c r="A14" s="19" t="s">
        <v>49</v>
      </c>
      <c r="B14" s="19" t="s">
        <v>50</v>
      </c>
    </row>
    <row r="15" spans="1:2" x14ac:dyDescent="0.2">
      <c r="A15" s="18" t="s">
        <v>257</v>
      </c>
      <c r="B15" s="19" t="s">
        <v>19</v>
      </c>
    </row>
    <row r="16" spans="1:2" x14ac:dyDescent="0.2">
      <c r="A16" s="19" t="s">
        <v>8</v>
      </c>
      <c r="B16" s="19" t="s">
        <v>20</v>
      </c>
    </row>
    <row r="17" spans="1:2" x14ac:dyDescent="0.2">
      <c r="A17" s="18" t="s">
        <v>258</v>
      </c>
      <c r="B17" s="19" t="s">
        <v>21</v>
      </c>
    </row>
    <row r="18" spans="1:2" x14ac:dyDescent="0.2">
      <c r="A18" s="18" t="s">
        <v>259</v>
      </c>
      <c r="B18" s="19" t="s">
        <v>53</v>
      </c>
    </row>
    <row r="19" spans="1:2" x14ac:dyDescent="0.2">
      <c r="A19" s="18" t="s">
        <v>260</v>
      </c>
      <c r="B19" s="19" t="s">
        <v>261</v>
      </c>
    </row>
    <row r="20" spans="1:2" x14ac:dyDescent="0.2">
      <c r="A20" s="18" t="s">
        <v>262</v>
      </c>
      <c r="B20" s="19" t="s">
        <v>23</v>
      </c>
    </row>
    <row r="21" spans="1:2" x14ac:dyDescent="0.2">
      <c r="A21" s="18" t="s">
        <v>263</v>
      </c>
      <c r="B21" s="19" t="s">
        <v>24</v>
      </c>
    </row>
    <row r="22" spans="1:2" x14ac:dyDescent="0.2">
      <c r="A22" s="18" t="s">
        <v>264</v>
      </c>
      <c r="B22" s="19" t="s">
        <v>56</v>
      </c>
    </row>
    <row r="23" spans="1:2" x14ac:dyDescent="0.2">
      <c r="A23" s="18" t="s">
        <v>265</v>
      </c>
      <c r="B23" s="19" t="s">
        <v>25</v>
      </c>
    </row>
    <row r="24" spans="1:2" x14ac:dyDescent="0.2">
      <c r="A24" s="18" t="s">
        <v>266</v>
      </c>
      <c r="B24" s="19" t="s">
        <v>26</v>
      </c>
    </row>
    <row r="25" spans="1:2" x14ac:dyDescent="0.2">
      <c r="A25" s="18" t="s">
        <v>267</v>
      </c>
      <c r="B25" s="19" t="s">
        <v>27</v>
      </c>
    </row>
    <row r="195" spans="3:3" x14ac:dyDescent="0.2">
      <c r="C195" t="s">
        <v>119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7DFD7-7FC8-47A6-9783-D89DD13FB10B}">
  <sheetPr codeName="Sheet2"/>
  <dimension ref="A1:H239"/>
  <sheetViews>
    <sheetView workbookViewId="0">
      <pane xSplit="1" ySplit="1" topLeftCell="B2" activePane="bottomRight" state="frozen"/>
      <selection activeCell="C195" sqref="C195"/>
      <selection pane="topRight" activeCell="C195" sqref="C195"/>
      <selection pane="bottomLeft" activeCell="C195" sqref="C195"/>
      <selection pane="bottomRight" activeCell="I161" sqref="I161"/>
    </sheetView>
  </sheetViews>
  <sheetFormatPr defaultColWidth="9.140625" defaultRowHeight="12.75" x14ac:dyDescent="0.2"/>
  <cols>
    <col min="1" max="4" width="19.5703125" style="40" customWidth="1"/>
    <col min="5" max="8" width="6.140625" style="40" customWidth="1"/>
    <col min="9" max="15" width="9.140625" style="40"/>
    <col min="16" max="16" width="23.7109375" style="40" bestFit="1" customWidth="1"/>
    <col min="17" max="17" width="19.85546875" style="40" bestFit="1" customWidth="1"/>
    <col min="18" max="18" width="15.5703125" style="40" customWidth="1"/>
    <col min="19" max="16384" width="9.140625" style="40"/>
  </cols>
  <sheetData>
    <row r="1" spans="1:8" x14ac:dyDescent="0.2">
      <c r="A1" s="39" t="s">
        <v>123</v>
      </c>
      <c r="B1" s="39" t="s">
        <v>124</v>
      </c>
      <c r="C1" s="39" t="s">
        <v>126</v>
      </c>
      <c r="D1" s="39" t="s">
        <v>125</v>
      </c>
      <c r="E1" s="39" t="s">
        <v>129</v>
      </c>
      <c r="F1" s="39" t="s">
        <v>130</v>
      </c>
      <c r="G1" s="39" t="s">
        <v>131</v>
      </c>
      <c r="H1" s="39" t="s">
        <v>449</v>
      </c>
    </row>
    <row r="2" spans="1:8" x14ac:dyDescent="0.2">
      <c r="A2" s="41" t="s">
        <v>252</v>
      </c>
      <c r="B2" s="41" t="s">
        <v>15</v>
      </c>
      <c r="C2" s="41"/>
      <c r="D2" s="41"/>
      <c r="E2" s="41" t="s">
        <v>148</v>
      </c>
      <c r="F2" s="41" t="s">
        <v>148</v>
      </c>
      <c r="G2" s="41" t="s">
        <v>148</v>
      </c>
      <c r="H2" s="41" t="s">
        <v>148</v>
      </c>
    </row>
    <row r="3" spans="1:8" x14ac:dyDescent="0.2">
      <c r="A3" s="41" t="s">
        <v>12</v>
      </c>
      <c r="B3" s="41" t="s">
        <v>16</v>
      </c>
      <c r="C3" s="41" t="s">
        <v>276</v>
      </c>
      <c r="D3" s="41"/>
      <c r="E3" s="41" t="s">
        <v>148</v>
      </c>
      <c r="F3" s="41" t="s">
        <v>148</v>
      </c>
      <c r="G3" s="41" t="s">
        <v>148</v>
      </c>
      <c r="H3" s="41" t="s">
        <v>148</v>
      </c>
    </row>
    <row r="4" spans="1:8" x14ac:dyDescent="0.2">
      <c r="A4" s="41" t="s">
        <v>12</v>
      </c>
      <c r="B4" s="41" t="s">
        <v>16</v>
      </c>
      <c r="C4" s="41" t="s">
        <v>277</v>
      </c>
      <c r="D4" s="41"/>
      <c r="E4" s="41" t="s">
        <v>148</v>
      </c>
      <c r="F4" s="41" t="s">
        <v>148</v>
      </c>
      <c r="G4" s="41" t="s">
        <v>148</v>
      </c>
      <c r="H4" s="41" t="s">
        <v>148</v>
      </c>
    </row>
    <row r="5" spans="1:8" x14ac:dyDescent="0.2">
      <c r="A5" s="41" t="s">
        <v>13</v>
      </c>
      <c r="B5" s="41" t="s">
        <v>36</v>
      </c>
      <c r="C5" s="41"/>
      <c r="D5" s="41"/>
      <c r="E5" s="41" t="s">
        <v>148</v>
      </c>
      <c r="F5" s="41" t="s">
        <v>148</v>
      </c>
      <c r="G5" s="41" t="s">
        <v>148</v>
      </c>
      <c r="H5" s="41" t="s">
        <v>148</v>
      </c>
    </row>
    <row r="6" spans="1:8" x14ac:dyDescent="0.2">
      <c r="A6" s="41" t="s">
        <v>9</v>
      </c>
      <c r="B6" s="41" t="s">
        <v>17</v>
      </c>
      <c r="C6" s="41"/>
      <c r="D6" s="41"/>
      <c r="E6" s="41" t="s">
        <v>148</v>
      </c>
      <c r="F6" s="41" t="s">
        <v>148</v>
      </c>
      <c r="G6" s="41" t="s">
        <v>148</v>
      </c>
      <c r="H6" s="41" t="s">
        <v>148</v>
      </c>
    </row>
    <row r="7" spans="1:8" x14ac:dyDescent="0.2">
      <c r="A7" s="41" t="s">
        <v>253</v>
      </c>
      <c r="B7" s="41" t="s">
        <v>254</v>
      </c>
      <c r="C7" s="41"/>
      <c r="D7" s="41"/>
      <c r="E7" s="41" t="s">
        <v>148</v>
      </c>
      <c r="F7" s="41" t="s">
        <v>148</v>
      </c>
      <c r="G7" s="41" t="s">
        <v>148</v>
      </c>
      <c r="H7" s="41" t="s">
        <v>148</v>
      </c>
    </row>
    <row r="8" spans="1:8" x14ac:dyDescent="0.2">
      <c r="A8" s="41" t="s">
        <v>10</v>
      </c>
      <c r="B8" s="41" t="s">
        <v>44</v>
      </c>
      <c r="C8" s="41"/>
      <c r="D8" s="41"/>
      <c r="E8" s="41" t="s">
        <v>148</v>
      </c>
      <c r="F8" s="41" t="s">
        <v>148</v>
      </c>
      <c r="G8" s="41" t="s">
        <v>148</v>
      </c>
      <c r="H8" s="41" t="s">
        <v>148</v>
      </c>
    </row>
    <row r="9" spans="1:8" x14ac:dyDescent="0.2">
      <c r="A9" s="41" t="s">
        <v>255</v>
      </c>
      <c r="B9" s="41" t="s">
        <v>40</v>
      </c>
      <c r="C9" s="41" t="s">
        <v>60</v>
      </c>
      <c r="D9" s="41"/>
      <c r="E9" s="41" t="s">
        <v>148</v>
      </c>
      <c r="F9" s="41"/>
      <c r="G9" s="41"/>
      <c r="H9" s="41"/>
    </row>
    <row r="10" spans="1:8" x14ac:dyDescent="0.2">
      <c r="A10" s="41" t="s">
        <v>255</v>
      </c>
      <c r="B10" s="41" t="s">
        <v>40</v>
      </c>
      <c r="C10" s="41"/>
      <c r="D10" s="41"/>
      <c r="E10" s="41" t="s">
        <v>148</v>
      </c>
      <c r="F10" s="41" t="s">
        <v>148</v>
      </c>
      <c r="G10" s="41" t="s">
        <v>148</v>
      </c>
      <c r="H10" s="41" t="s">
        <v>148</v>
      </c>
    </row>
    <row r="11" spans="1:8" x14ac:dyDescent="0.2">
      <c r="A11" s="41" t="s">
        <v>156</v>
      </c>
      <c r="B11" s="41" t="s">
        <v>45</v>
      </c>
      <c r="C11" s="41" t="s">
        <v>278</v>
      </c>
      <c r="D11" s="41" t="s">
        <v>331</v>
      </c>
      <c r="E11" s="41"/>
      <c r="F11" s="41"/>
      <c r="G11" s="41" t="s">
        <v>148</v>
      </c>
      <c r="H11" s="41"/>
    </row>
    <row r="12" spans="1:8" x14ac:dyDescent="0.2">
      <c r="A12" s="41" t="s">
        <v>156</v>
      </c>
      <c r="B12" s="41" t="s">
        <v>45</v>
      </c>
      <c r="C12" s="41" t="s">
        <v>278</v>
      </c>
      <c r="D12" s="41" t="s">
        <v>332</v>
      </c>
      <c r="E12" s="41"/>
      <c r="F12" s="41"/>
      <c r="G12" s="41" t="s">
        <v>148</v>
      </c>
      <c r="H12" s="41"/>
    </row>
    <row r="13" spans="1:8" x14ac:dyDescent="0.2">
      <c r="A13" s="41" t="s">
        <v>156</v>
      </c>
      <c r="B13" s="41" t="s">
        <v>45</v>
      </c>
      <c r="C13" s="41" t="s">
        <v>278</v>
      </c>
      <c r="D13" s="41" t="s">
        <v>447</v>
      </c>
      <c r="E13" s="41"/>
      <c r="F13" s="41"/>
      <c r="G13" s="41" t="s">
        <v>148</v>
      </c>
      <c r="H13" s="41"/>
    </row>
    <row r="14" spans="1:8" x14ac:dyDescent="0.2">
      <c r="A14" s="41" t="s">
        <v>156</v>
      </c>
      <c r="B14" s="41" t="s">
        <v>45</v>
      </c>
      <c r="C14" s="41" t="s">
        <v>57</v>
      </c>
      <c r="D14" s="41" t="s">
        <v>58</v>
      </c>
      <c r="E14" s="41" t="s">
        <v>148</v>
      </c>
      <c r="F14" s="41" t="s">
        <v>148</v>
      </c>
      <c r="G14" s="41"/>
      <c r="H14" s="41" t="s">
        <v>148</v>
      </c>
    </row>
    <row r="15" spans="1:8" x14ac:dyDescent="0.2">
      <c r="A15" s="41" t="s">
        <v>156</v>
      </c>
      <c r="B15" s="41" t="s">
        <v>45</v>
      </c>
      <c r="C15" s="41" t="s">
        <v>57</v>
      </c>
      <c r="D15" s="41" t="s">
        <v>59</v>
      </c>
      <c r="E15" s="41" t="s">
        <v>148</v>
      </c>
      <c r="F15" s="41"/>
      <c r="G15" s="41"/>
      <c r="H15" s="41" t="s">
        <v>148</v>
      </c>
    </row>
    <row r="16" spans="1:8" x14ac:dyDescent="0.2">
      <c r="A16" s="41" t="s">
        <v>156</v>
      </c>
      <c r="B16" s="41" t="s">
        <v>45</v>
      </c>
      <c r="C16" s="41" t="s">
        <v>57</v>
      </c>
      <c r="D16" s="41" t="s">
        <v>158</v>
      </c>
      <c r="E16" s="41"/>
      <c r="F16" s="41" t="s">
        <v>148</v>
      </c>
      <c r="G16" s="41"/>
      <c r="H16" s="41"/>
    </row>
    <row r="17" spans="1:8" x14ac:dyDescent="0.2">
      <c r="A17" s="41" t="s">
        <v>156</v>
      </c>
      <c r="B17" s="41" t="s">
        <v>45</v>
      </c>
      <c r="C17" s="41" t="s">
        <v>57</v>
      </c>
      <c r="D17" s="41" t="s">
        <v>64</v>
      </c>
      <c r="E17" s="41"/>
      <c r="F17" s="41" t="s">
        <v>148</v>
      </c>
      <c r="G17" s="41"/>
      <c r="H17" s="41"/>
    </row>
    <row r="18" spans="1:8" x14ac:dyDescent="0.2">
      <c r="A18" s="41" t="s">
        <v>156</v>
      </c>
      <c r="B18" s="41" t="s">
        <v>45</v>
      </c>
      <c r="C18" s="41" t="s">
        <v>57</v>
      </c>
      <c r="D18" s="41" t="s">
        <v>159</v>
      </c>
      <c r="E18" s="41"/>
      <c r="F18" s="41" t="s">
        <v>148</v>
      </c>
      <c r="G18" s="41"/>
      <c r="H18" s="41"/>
    </row>
    <row r="19" spans="1:8" x14ac:dyDescent="0.2">
      <c r="A19" s="41" t="s">
        <v>156</v>
      </c>
      <c r="B19" s="41" t="s">
        <v>45</v>
      </c>
      <c r="C19" s="41" t="s">
        <v>57</v>
      </c>
      <c r="D19" s="41" t="s">
        <v>160</v>
      </c>
      <c r="E19" s="41"/>
      <c r="F19" s="41" t="s">
        <v>148</v>
      </c>
      <c r="G19" s="41"/>
      <c r="H19" s="41"/>
    </row>
    <row r="20" spans="1:8" x14ac:dyDescent="0.2">
      <c r="A20" s="41" t="s">
        <v>156</v>
      </c>
      <c r="B20" s="41" t="s">
        <v>45</v>
      </c>
      <c r="C20" s="41" t="s">
        <v>57</v>
      </c>
      <c r="D20" s="41" t="s">
        <v>161</v>
      </c>
      <c r="E20" s="41"/>
      <c r="F20" s="41" t="s">
        <v>148</v>
      </c>
      <c r="G20" s="41"/>
      <c r="H20" s="41"/>
    </row>
    <row r="21" spans="1:8" x14ac:dyDescent="0.2">
      <c r="A21" s="41" t="s">
        <v>156</v>
      </c>
      <c r="B21" s="41" t="s">
        <v>45</v>
      </c>
      <c r="C21" s="41" t="s">
        <v>57</v>
      </c>
      <c r="D21" s="41"/>
      <c r="E21" s="41"/>
      <c r="F21" s="41" t="s">
        <v>148</v>
      </c>
      <c r="G21" s="41" t="s">
        <v>148</v>
      </c>
      <c r="H21" s="41"/>
    </row>
    <row r="22" spans="1:8" x14ac:dyDescent="0.2">
      <c r="A22" s="41" t="s">
        <v>156</v>
      </c>
      <c r="B22" s="41" t="s">
        <v>45</v>
      </c>
      <c r="C22" s="41" t="s">
        <v>60</v>
      </c>
      <c r="D22" s="41" t="s">
        <v>61</v>
      </c>
      <c r="E22" s="41" t="s">
        <v>148</v>
      </c>
      <c r="F22" s="41"/>
      <c r="G22" s="41"/>
      <c r="H22" s="41" t="s">
        <v>148</v>
      </c>
    </row>
    <row r="23" spans="1:8" x14ac:dyDescent="0.2">
      <c r="A23" s="41" t="s">
        <v>156</v>
      </c>
      <c r="B23" s="41" t="s">
        <v>45</v>
      </c>
      <c r="C23" s="41" t="s">
        <v>60</v>
      </c>
      <c r="D23" s="41" t="s">
        <v>62</v>
      </c>
      <c r="E23" s="41" t="s">
        <v>148</v>
      </c>
      <c r="F23" s="41"/>
      <c r="G23" s="41"/>
      <c r="H23" s="41" t="s">
        <v>148</v>
      </c>
    </row>
    <row r="24" spans="1:8" x14ac:dyDescent="0.2">
      <c r="A24" s="41" t="s">
        <v>156</v>
      </c>
      <c r="B24" s="41" t="s">
        <v>45</v>
      </c>
      <c r="C24" s="41" t="s">
        <v>60</v>
      </c>
      <c r="D24" s="41" t="s">
        <v>63</v>
      </c>
      <c r="E24" s="41" t="s">
        <v>148</v>
      </c>
      <c r="F24" s="41"/>
      <c r="G24" s="41"/>
      <c r="H24" s="41" t="s">
        <v>148</v>
      </c>
    </row>
    <row r="25" spans="1:8" x14ac:dyDescent="0.2">
      <c r="A25" s="41" t="s">
        <v>156</v>
      </c>
      <c r="B25" s="41" t="s">
        <v>45</v>
      </c>
      <c r="C25" s="41" t="s">
        <v>60</v>
      </c>
      <c r="D25" s="41" t="s">
        <v>64</v>
      </c>
      <c r="E25" s="41" t="s">
        <v>148</v>
      </c>
      <c r="F25" s="41"/>
      <c r="G25" s="41"/>
      <c r="H25" s="41" t="s">
        <v>148</v>
      </c>
    </row>
    <row r="26" spans="1:8" x14ac:dyDescent="0.2">
      <c r="A26" s="41" t="s">
        <v>156</v>
      </c>
      <c r="B26" s="41" t="s">
        <v>45</v>
      </c>
      <c r="C26" s="41" t="s">
        <v>60</v>
      </c>
      <c r="D26" s="41" t="s">
        <v>65</v>
      </c>
      <c r="E26" s="41" t="s">
        <v>148</v>
      </c>
      <c r="F26" s="41"/>
      <c r="G26" s="41"/>
      <c r="H26" s="41" t="s">
        <v>148</v>
      </c>
    </row>
    <row r="27" spans="1:8" x14ac:dyDescent="0.2">
      <c r="A27" s="41" t="s">
        <v>156</v>
      </c>
      <c r="B27" s="41" t="s">
        <v>45</v>
      </c>
      <c r="C27" s="41" t="s">
        <v>60</v>
      </c>
      <c r="D27" s="41" t="s">
        <v>66</v>
      </c>
      <c r="E27" s="41" t="s">
        <v>148</v>
      </c>
      <c r="F27" s="41"/>
      <c r="G27" s="41"/>
      <c r="H27" s="41" t="s">
        <v>148</v>
      </c>
    </row>
    <row r="28" spans="1:8" x14ac:dyDescent="0.2">
      <c r="A28" s="41" t="s">
        <v>156</v>
      </c>
      <c r="B28" s="41" t="s">
        <v>45</v>
      </c>
      <c r="C28" s="41" t="s">
        <v>279</v>
      </c>
      <c r="D28" s="41"/>
      <c r="E28" s="41"/>
      <c r="F28" s="41"/>
      <c r="G28" s="41" t="s">
        <v>148</v>
      </c>
      <c r="H28" s="41"/>
    </row>
    <row r="29" spans="1:8" x14ac:dyDescent="0.2">
      <c r="A29" s="41" t="s">
        <v>156</v>
      </c>
      <c r="B29" s="41" t="s">
        <v>45</v>
      </c>
      <c r="C29" s="41" t="s">
        <v>279</v>
      </c>
      <c r="D29" s="41" t="s">
        <v>162</v>
      </c>
      <c r="E29" s="41"/>
      <c r="F29" s="41" t="s">
        <v>148</v>
      </c>
      <c r="G29" s="41"/>
      <c r="H29" s="41"/>
    </row>
    <row r="30" spans="1:8" x14ac:dyDescent="0.2">
      <c r="A30" s="41" t="s">
        <v>156</v>
      </c>
      <c r="B30" s="41" t="s">
        <v>45</v>
      </c>
      <c r="C30" s="41" t="s">
        <v>163</v>
      </c>
      <c r="D30" s="41" t="s">
        <v>164</v>
      </c>
      <c r="E30" s="41"/>
      <c r="F30" s="41" t="s">
        <v>148</v>
      </c>
      <c r="G30" s="41"/>
      <c r="H30" s="41"/>
    </row>
    <row r="31" spans="1:8" x14ac:dyDescent="0.2">
      <c r="A31" s="41" t="s">
        <v>156</v>
      </c>
      <c r="B31" s="41" t="s">
        <v>45</v>
      </c>
      <c r="C31" s="41" t="s">
        <v>163</v>
      </c>
      <c r="D31" s="41"/>
      <c r="E31" s="41"/>
      <c r="F31" s="41"/>
      <c r="G31" s="41" t="s">
        <v>148</v>
      </c>
      <c r="H31" s="41"/>
    </row>
    <row r="32" spans="1:8" x14ac:dyDescent="0.2">
      <c r="A32" s="41" t="s">
        <v>156</v>
      </c>
      <c r="B32" s="41" t="s">
        <v>45</v>
      </c>
      <c r="C32" s="41" t="s">
        <v>280</v>
      </c>
      <c r="D32" s="41"/>
      <c r="E32" s="41"/>
      <c r="F32" s="41"/>
      <c r="G32" s="41" t="s">
        <v>148</v>
      </c>
      <c r="H32" s="41"/>
    </row>
    <row r="33" spans="1:8" x14ac:dyDescent="0.2">
      <c r="A33" s="41" t="s">
        <v>156</v>
      </c>
      <c r="B33" s="41" t="s">
        <v>45</v>
      </c>
      <c r="C33" s="41" t="s">
        <v>165</v>
      </c>
      <c r="D33" s="41" t="s">
        <v>166</v>
      </c>
      <c r="E33" s="41"/>
      <c r="F33" s="41" t="s">
        <v>148</v>
      </c>
      <c r="G33" s="41"/>
      <c r="H33" s="41"/>
    </row>
    <row r="34" spans="1:8" x14ac:dyDescent="0.2">
      <c r="A34" s="41" t="s">
        <v>156</v>
      </c>
      <c r="B34" s="41" t="s">
        <v>45</v>
      </c>
      <c r="C34" s="41" t="s">
        <v>165</v>
      </c>
      <c r="D34" s="41" t="s">
        <v>167</v>
      </c>
      <c r="E34" s="41"/>
      <c r="F34" s="41" t="s">
        <v>148</v>
      </c>
      <c r="G34" s="41"/>
      <c r="H34" s="41"/>
    </row>
    <row r="35" spans="1:8" x14ac:dyDescent="0.2">
      <c r="A35" s="41" t="s">
        <v>156</v>
      </c>
      <c r="B35" s="41" t="s">
        <v>45</v>
      </c>
      <c r="C35" s="41" t="s">
        <v>165</v>
      </c>
      <c r="D35" s="41"/>
      <c r="E35" s="41"/>
      <c r="F35" s="41"/>
      <c r="G35" s="41" t="s">
        <v>148</v>
      </c>
      <c r="H35" s="41"/>
    </row>
    <row r="36" spans="1:8" x14ac:dyDescent="0.2">
      <c r="A36" s="41" t="s">
        <v>156</v>
      </c>
      <c r="B36" s="41" t="s">
        <v>45</v>
      </c>
      <c r="C36" s="41" t="s">
        <v>281</v>
      </c>
      <c r="D36" s="41"/>
      <c r="E36" s="41"/>
      <c r="F36" s="41"/>
      <c r="G36" s="41" t="s">
        <v>148</v>
      </c>
      <c r="H36" s="41"/>
    </row>
    <row r="37" spans="1:8" x14ac:dyDescent="0.2">
      <c r="A37" s="41" t="s">
        <v>156</v>
      </c>
      <c r="B37" s="41" t="s">
        <v>45</v>
      </c>
      <c r="C37" s="41" t="s">
        <v>168</v>
      </c>
      <c r="D37" s="41" t="s">
        <v>178</v>
      </c>
      <c r="E37" s="41"/>
      <c r="F37" s="41" t="s">
        <v>148</v>
      </c>
      <c r="G37" s="41"/>
      <c r="H37" s="41"/>
    </row>
    <row r="38" spans="1:8" x14ac:dyDescent="0.2">
      <c r="A38" s="41" t="s">
        <v>156</v>
      </c>
      <c r="B38" s="41" t="s">
        <v>45</v>
      </c>
      <c r="C38" s="41" t="s">
        <v>168</v>
      </c>
      <c r="D38" s="41" t="s">
        <v>97</v>
      </c>
      <c r="E38" s="41"/>
      <c r="F38" s="41" t="s">
        <v>148</v>
      </c>
      <c r="G38" s="41"/>
      <c r="H38" s="41"/>
    </row>
    <row r="39" spans="1:8" x14ac:dyDescent="0.2">
      <c r="A39" s="41" t="s">
        <v>156</v>
      </c>
      <c r="B39" s="41" t="s">
        <v>45</v>
      </c>
      <c r="C39" s="41" t="s">
        <v>168</v>
      </c>
      <c r="D39" s="41"/>
      <c r="E39" s="41"/>
      <c r="F39" s="41" t="s">
        <v>148</v>
      </c>
      <c r="G39" s="41" t="s">
        <v>148</v>
      </c>
      <c r="H39" s="41"/>
    </row>
    <row r="40" spans="1:8" x14ac:dyDescent="0.2">
      <c r="A40" s="41" t="s">
        <v>156</v>
      </c>
      <c r="B40" s="41" t="s">
        <v>45</v>
      </c>
      <c r="C40" s="41" t="s">
        <v>169</v>
      </c>
      <c r="D40" s="41" t="s">
        <v>170</v>
      </c>
      <c r="E40" s="41"/>
      <c r="F40" s="41" t="s">
        <v>148</v>
      </c>
      <c r="G40" s="41"/>
      <c r="H40" s="41"/>
    </row>
    <row r="41" spans="1:8" x14ac:dyDescent="0.2">
      <c r="A41" s="41" t="s">
        <v>156</v>
      </c>
      <c r="B41" s="41" t="s">
        <v>45</v>
      </c>
      <c r="C41" s="41" t="s">
        <v>169</v>
      </c>
      <c r="D41" s="41"/>
      <c r="E41" s="41"/>
      <c r="F41" s="41"/>
      <c r="G41" s="41" t="s">
        <v>148</v>
      </c>
      <c r="H41" s="41"/>
    </row>
    <row r="42" spans="1:8" x14ac:dyDescent="0.2">
      <c r="A42" s="41" t="s">
        <v>156</v>
      </c>
      <c r="B42" s="41" t="s">
        <v>45</v>
      </c>
      <c r="C42" s="41" t="s">
        <v>67</v>
      </c>
      <c r="D42" s="41" t="s">
        <v>68</v>
      </c>
      <c r="E42" s="41" t="s">
        <v>148</v>
      </c>
      <c r="F42" s="41"/>
      <c r="G42" s="41"/>
      <c r="H42" s="41" t="s">
        <v>148</v>
      </c>
    </row>
    <row r="43" spans="1:8" x14ac:dyDescent="0.2">
      <c r="A43" s="41" t="s">
        <v>156</v>
      </c>
      <c r="B43" s="41" t="s">
        <v>45</v>
      </c>
      <c r="C43" s="41" t="s">
        <v>282</v>
      </c>
      <c r="D43" s="41"/>
      <c r="E43" s="41"/>
      <c r="F43" s="41"/>
      <c r="G43" s="41" t="s">
        <v>148</v>
      </c>
      <c r="H43" s="41"/>
    </row>
    <row r="44" spans="1:8" x14ac:dyDescent="0.2">
      <c r="A44" s="41" t="s">
        <v>156</v>
      </c>
      <c r="B44" s="41" t="s">
        <v>45</v>
      </c>
      <c r="C44" s="41" t="s">
        <v>283</v>
      </c>
      <c r="D44" s="41"/>
      <c r="E44" s="41"/>
      <c r="F44" s="41"/>
      <c r="G44" s="41" t="s">
        <v>148</v>
      </c>
      <c r="H44" s="41"/>
    </row>
    <row r="45" spans="1:8" x14ac:dyDescent="0.2">
      <c r="A45" s="41" t="s">
        <v>156</v>
      </c>
      <c r="B45" s="41" t="s">
        <v>45</v>
      </c>
      <c r="C45" s="41" t="s">
        <v>284</v>
      </c>
      <c r="D45" s="41"/>
      <c r="E45" s="41"/>
      <c r="F45" s="41"/>
      <c r="G45" s="41" t="s">
        <v>148</v>
      </c>
      <c r="H45" s="41"/>
    </row>
    <row r="46" spans="1:8" x14ac:dyDescent="0.2">
      <c r="A46" s="41" t="s">
        <v>156</v>
      </c>
      <c r="B46" s="41" t="s">
        <v>45</v>
      </c>
      <c r="C46" s="41" t="s">
        <v>171</v>
      </c>
      <c r="D46" s="41" t="s">
        <v>172</v>
      </c>
      <c r="E46" s="41"/>
      <c r="F46" s="41" t="s">
        <v>148</v>
      </c>
      <c r="G46" s="41"/>
      <c r="H46" s="41"/>
    </row>
    <row r="47" spans="1:8" x14ac:dyDescent="0.2">
      <c r="A47" s="41" t="s">
        <v>156</v>
      </c>
      <c r="B47" s="41" t="s">
        <v>45</v>
      </c>
      <c r="C47" s="41" t="s">
        <v>171</v>
      </c>
      <c r="D47" s="41"/>
      <c r="E47" s="41"/>
      <c r="F47" s="41"/>
      <c r="G47" s="41" t="s">
        <v>148</v>
      </c>
      <c r="H47" s="41"/>
    </row>
    <row r="48" spans="1:8" x14ac:dyDescent="0.2">
      <c r="A48" s="41" t="s">
        <v>156</v>
      </c>
      <c r="B48" s="41" t="s">
        <v>45</v>
      </c>
      <c r="C48" s="41" t="s">
        <v>69</v>
      </c>
      <c r="D48" s="41" t="s">
        <v>70</v>
      </c>
      <c r="E48" s="41" t="s">
        <v>148</v>
      </c>
      <c r="F48" s="41"/>
      <c r="G48" s="41"/>
      <c r="H48" s="41" t="s">
        <v>148</v>
      </c>
    </row>
    <row r="49" spans="1:8" x14ac:dyDescent="0.2">
      <c r="A49" s="41" t="s">
        <v>156</v>
      </c>
      <c r="B49" s="41" t="s">
        <v>45</v>
      </c>
      <c r="C49" s="41" t="s">
        <v>71</v>
      </c>
      <c r="D49" s="41" t="s">
        <v>72</v>
      </c>
      <c r="E49" s="41" t="s">
        <v>148</v>
      </c>
      <c r="F49" s="41"/>
      <c r="G49" s="41"/>
      <c r="H49" s="41" t="s">
        <v>148</v>
      </c>
    </row>
    <row r="50" spans="1:8" x14ac:dyDescent="0.2">
      <c r="A50" s="41" t="s">
        <v>156</v>
      </c>
      <c r="B50" s="41" t="s">
        <v>45</v>
      </c>
      <c r="C50" s="41" t="s">
        <v>173</v>
      </c>
      <c r="D50" s="41" t="s">
        <v>174</v>
      </c>
      <c r="E50" s="41"/>
      <c r="F50" s="41" t="s">
        <v>148</v>
      </c>
      <c r="G50" s="41"/>
      <c r="H50" s="41"/>
    </row>
    <row r="51" spans="1:8" x14ac:dyDescent="0.2">
      <c r="A51" s="41" t="s">
        <v>156</v>
      </c>
      <c r="B51" s="41" t="s">
        <v>45</v>
      </c>
      <c r="C51" s="41" t="s">
        <v>173</v>
      </c>
      <c r="D51" s="41"/>
      <c r="E51" s="41"/>
      <c r="F51" s="41"/>
      <c r="G51" s="41" t="s">
        <v>148</v>
      </c>
      <c r="H51" s="41"/>
    </row>
    <row r="52" spans="1:8" x14ac:dyDescent="0.2">
      <c r="A52" s="41" t="s">
        <v>156</v>
      </c>
      <c r="B52" s="41" t="s">
        <v>45</v>
      </c>
      <c r="C52" s="41" t="s">
        <v>73</v>
      </c>
      <c r="D52" s="41" t="s">
        <v>74</v>
      </c>
      <c r="E52" s="41" t="s">
        <v>148</v>
      </c>
      <c r="F52" s="41"/>
      <c r="G52" s="41"/>
      <c r="H52" s="41" t="s">
        <v>148</v>
      </c>
    </row>
    <row r="53" spans="1:8" x14ac:dyDescent="0.2">
      <c r="A53" s="41" t="s">
        <v>156</v>
      </c>
      <c r="B53" s="41" t="s">
        <v>45</v>
      </c>
      <c r="C53" s="41" t="s">
        <v>285</v>
      </c>
      <c r="D53" s="41"/>
      <c r="E53" s="41"/>
      <c r="F53" s="41"/>
      <c r="G53" s="41" t="s">
        <v>148</v>
      </c>
      <c r="H53" s="41"/>
    </row>
    <row r="54" spans="1:8" x14ac:dyDescent="0.2">
      <c r="A54" s="41" t="s">
        <v>156</v>
      </c>
      <c r="B54" s="41" t="s">
        <v>45</v>
      </c>
      <c r="C54" s="41" t="s">
        <v>286</v>
      </c>
      <c r="D54" s="41"/>
      <c r="E54" s="41"/>
      <c r="F54" s="41"/>
      <c r="G54" s="41" t="s">
        <v>148</v>
      </c>
      <c r="H54" s="41"/>
    </row>
    <row r="55" spans="1:8" x14ac:dyDescent="0.2">
      <c r="A55" s="41" t="s">
        <v>156</v>
      </c>
      <c r="B55" s="41" t="s">
        <v>45</v>
      </c>
      <c r="C55" s="41" t="s">
        <v>175</v>
      </c>
      <c r="D55" s="41" t="s">
        <v>176</v>
      </c>
      <c r="E55" s="41"/>
      <c r="F55" s="41" t="s">
        <v>148</v>
      </c>
      <c r="G55" s="41"/>
      <c r="H55" s="41"/>
    </row>
    <row r="56" spans="1:8" x14ac:dyDescent="0.2">
      <c r="A56" s="41" t="s">
        <v>156</v>
      </c>
      <c r="B56" s="41" t="s">
        <v>45</v>
      </c>
      <c r="C56" s="41" t="s">
        <v>175</v>
      </c>
      <c r="D56" s="41" t="s">
        <v>652</v>
      </c>
      <c r="E56" s="41"/>
      <c r="F56" s="41" t="s">
        <v>148</v>
      </c>
      <c r="G56" s="41"/>
      <c r="H56" s="41"/>
    </row>
    <row r="57" spans="1:8" x14ac:dyDescent="0.2">
      <c r="A57" s="41" t="s">
        <v>156</v>
      </c>
      <c r="B57" s="41" t="s">
        <v>45</v>
      </c>
      <c r="C57" s="41" t="s">
        <v>175</v>
      </c>
      <c r="D57" s="41"/>
      <c r="E57" s="41"/>
      <c r="F57" s="41"/>
      <c r="G57" s="41" t="s">
        <v>148</v>
      </c>
      <c r="H57" s="41"/>
    </row>
    <row r="58" spans="1:8" x14ac:dyDescent="0.2">
      <c r="A58" s="41" t="s">
        <v>156</v>
      </c>
      <c r="B58" s="41" t="s">
        <v>45</v>
      </c>
      <c r="C58" s="41" t="s">
        <v>287</v>
      </c>
      <c r="D58" s="41"/>
      <c r="E58" s="41"/>
      <c r="F58" s="41"/>
      <c r="G58" s="41" t="s">
        <v>148</v>
      </c>
      <c r="H58" s="41"/>
    </row>
    <row r="59" spans="1:8" x14ac:dyDescent="0.2">
      <c r="A59" s="41" t="s">
        <v>156</v>
      </c>
      <c r="B59" s="41" t="s">
        <v>45</v>
      </c>
      <c r="C59" s="41" t="s">
        <v>177</v>
      </c>
      <c r="D59" s="41" t="s">
        <v>178</v>
      </c>
      <c r="E59" s="41"/>
      <c r="F59" s="41" t="s">
        <v>148</v>
      </c>
      <c r="G59" s="41"/>
      <c r="H59" s="41"/>
    </row>
    <row r="60" spans="1:8" x14ac:dyDescent="0.2">
      <c r="A60" s="41" t="s">
        <v>156</v>
      </c>
      <c r="B60" s="41" t="s">
        <v>45</v>
      </c>
      <c r="C60" s="41" t="s">
        <v>75</v>
      </c>
      <c r="D60" s="41" t="s">
        <v>76</v>
      </c>
      <c r="E60" s="41" t="s">
        <v>148</v>
      </c>
      <c r="F60" s="41"/>
      <c r="G60" s="41"/>
      <c r="H60" s="41" t="s">
        <v>148</v>
      </c>
    </row>
    <row r="61" spans="1:8" x14ac:dyDescent="0.2">
      <c r="A61" s="41" t="s">
        <v>156</v>
      </c>
      <c r="B61" s="41" t="s">
        <v>45</v>
      </c>
      <c r="C61" s="41" t="s">
        <v>77</v>
      </c>
      <c r="D61" s="41" t="s">
        <v>78</v>
      </c>
      <c r="E61" s="41" t="s">
        <v>148</v>
      </c>
      <c r="F61" s="41"/>
      <c r="G61" s="41"/>
      <c r="H61" s="41" t="s">
        <v>148</v>
      </c>
    </row>
    <row r="62" spans="1:8" x14ac:dyDescent="0.2">
      <c r="A62" s="41" t="s">
        <v>156</v>
      </c>
      <c r="B62" s="41" t="s">
        <v>45</v>
      </c>
      <c r="C62" s="41" t="s">
        <v>77</v>
      </c>
      <c r="D62" s="41" t="s">
        <v>179</v>
      </c>
      <c r="E62" s="41"/>
      <c r="F62" s="41" t="s">
        <v>148</v>
      </c>
      <c r="G62" s="41"/>
      <c r="H62" s="41"/>
    </row>
    <row r="63" spans="1:8" x14ac:dyDescent="0.2">
      <c r="A63" s="41" t="s">
        <v>156</v>
      </c>
      <c r="B63" s="41" t="s">
        <v>45</v>
      </c>
      <c r="C63" s="41" t="s">
        <v>77</v>
      </c>
      <c r="D63" s="41" t="s">
        <v>653</v>
      </c>
      <c r="E63" s="41"/>
      <c r="F63" s="41" t="s">
        <v>148</v>
      </c>
      <c r="G63" s="41"/>
      <c r="H63" s="41"/>
    </row>
    <row r="64" spans="1:8" x14ac:dyDescent="0.2">
      <c r="A64" s="41" t="s">
        <v>156</v>
      </c>
      <c r="B64" s="41" t="s">
        <v>45</v>
      </c>
      <c r="C64" s="41" t="s">
        <v>77</v>
      </c>
      <c r="D64" s="41" t="s">
        <v>180</v>
      </c>
      <c r="E64" s="41"/>
      <c r="F64" s="41" t="s">
        <v>148</v>
      </c>
      <c r="G64" s="41"/>
      <c r="H64" s="41"/>
    </row>
    <row r="65" spans="1:8" x14ac:dyDescent="0.2">
      <c r="A65" s="41" t="s">
        <v>156</v>
      </c>
      <c r="B65" s="41" t="s">
        <v>45</v>
      </c>
      <c r="C65" s="41" t="s">
        <v>77</v>
      </c>
      <c r="D65" s="41"/>
      <c r="E65" s="41"/>
      <c r="F65" s="41" t="s">
        <v>148</v>
      </c>
      <c r="G65" s="41" t="s">
        <v>148</v>
      </c>
      <c r="H65" s="41"/>
    </row>
    <row r="66" spans="1:8" x14ac:dyDescent="0.2">
      <c r="A66" s="41" t="s">
        <v>156</v>
      </c>
      <c r="B66" s="41" t="s">
        <v>45</v>
      </c>
      <c r="C66" s="41" t="s">
        <v>181</v>
      </c>
      <c r="D66" s="41" t="s">
        <v>182</v>
      </c>
      <c r="E66" s="41"/>
      <c r="F66" s="41" t="s">
        <v>148</v>
      </c>
      <c r="G66" s="41"/>
      <c r="H66" s="41"/>
    </row>
    <row r="67" spans="1:8" x14ac:dyDescent="0.2">
      <c r="A67" s="41" t="s">
        <v>156</v>
      </c>
      <c r="B67" s="41" t="s">
        <v>45</v>
      </c>
      <c r="C67" s="41" t="s">
        <v>181</v>
      </c>
      <c r="D67" s="41" t="s">
        <v>183</v>
      </c>
      <c r="E67" s="41"/>
      <c r="F67" s="41" t="s">
        <v>148</v>
      </c>
      <c r="G67" s="41"/>
      <c r="H67" s="41"/>
    </row>
    <row r="68" spans="1:8" x14ac:dyDescent="0.2">
      <c r="A68" s="41" t="s">
        <v>156</v>
      </c>
      <c r="B68" s="41" t="s">
        <v>45</v>
      </c>
      <c r="C68" s="41" t="s">
        <v>181</v>
      </c>
      <c r="D68" s="41" t="s">
        <v>654</v>
      </c>
      <c r="E68" s="41"/>
      <c r="F68" s="41" t="s">
        <v>148</v>
      </c>
      <c r="G68" s="41"/>
      <c r="H68" s="41"/>
    </row>
    <row r="69" spans="1:8" x14ac:dyDescent="0.2">
      <c r="A69" s="41" t="s">
        <v>156</v>
      </c>
      <c r="B69" s="41" t="s">
        <v>45</v>
      </c>
      <c r="C69" s="41" t="s">
        <v>181</v>
      </c>
      <c r="D69" s="41" t="s">
        <v>184</v>
      </c>
      <c r="E69" s="41"/>
      <c r="F69" s="41" t="s">
        <v>148</v>
      </c>
      <c r="G69" s="41"/>
      <c r="H69" s="41"/>
    </row>
    <row r="70" spans="1:8" x14ac:dyDescent="0.2">
      <c r="A70" s="41" t="s">
        <v>156</v>
      </c>
      <c r="B70" s="41" t="s">
        <v>45</v>
      </c>
      <c r="C70" s="41" t="s">
        <v>181</v>
      </c>
      <c r="D70" s="41" t="s">
        <v>185</v>
      </c>
      <c r="E70" s="41"/>
      <c r="F70" s="41" t="s">
        <v>148</v>
      </c>
      <c r="G70" s="41"/>
      <c r="H70" s="41"/>
    </row>
    <row r="71" spans="1:8" x14ac:dyDescent="0.2">
      <c r="A71" s="41" t="s">
        <v>156</v>
      </c>
      <c r="B71" s="41" t="s">
        <v>45</v>
      </c>
      <c r="C71" s="41" t="s">
        <v>181</v>
      </c>
      <c r="D71" s="41"/>
      <c r="E71" s="41"/>
      <c r="F71" s="41" t="s">
        <v>148</v>
      </c>
      <c r="G71" s="41" t="s">
        <v>148</v>
      </c>
      <c r="H71" s="41"/>
    </row>
    <row r="72" spans="1:8" x14ac:dyDescent="0.2">
      <c r="A72" s="41" t="s">
        <v>156</v>
      </c>
      <c r="B72" s="41" t="s">
        <v>45</v>
      </c>
      <c r="C72" s="41" t="s">
        <v>186</v>
      </c>
      <c r="D72" s="41" t="s">
        <v>187</v>
      </c>
      <c r="E72" s="41"/>
      <c r="F72" s="41" t="s">
        <v>148</v>
      </c>
      <c r="G72" s="41"/>
      <c r="H72" s="41"/>
    </row>
    <row r="73" spans="1:8" x14ac:dyDescent="0.2">
      <c r="A73" s="41" t="s">
        <v>156</v>
      </c>
      <c r="B73" s="41" t="s">
        <v>45</v>
      </c>
      <c r="C73" s="41" t="s">
        <v>186</v>
      </c>
      <c r="D73" s="41"/>
      <c r="E73" s="41"/>
      <c r="F73" s="41"/>
      <c r="G73" s="41" t="s">
        <v>148</v>
      </c>
      <c r="H73" s="41"/>
    </row>
    <row r="74" spans="1:8" x14ac:dyDescent="0.2">
      <c r="A74" s="41" t="s">
        <v>156</v>
      </c>
      <c r="B74" s="41" t="s">
        <v>45</v>
      </c>
      <c r="C74" s="41" t="s">
        <v>188</v>
      </c>
      <c r="D74" s="41" t="s">
        <v>189</v>
      </c>
      <c r="E74" s="41"/>
      <c r="F74" s="41" t="s">
        <v>148</v>
      </c>
      <c r="G74" s="41"/>
      <c r="H74" s="41"/>
    </row>
    <row r="75" spans="1:8" x14ac:dyDescent="0.2">
      <c r="A75" s="41" t="s">
        <v>156</v>
      </c>
      <c r="B75" s="41" t="s">
        <v>45</v>
      </c>
      <c r="C75" s="41" t="s">
        <v>188</v>
      </c>
      <c r="D75" s="41"/>
      <c r="E75" s="41"/>
      <c r="F75" s="41" t="s">
        <v>148</v>
      </c>
      <c r="G75" s="41" t="s">
        <v>148</v>
      </c>
      <c r="H75" s="41"/>
    </row>
    <row r="76" spans="1:8" x14ac:dyDescent="0.2">
      <c r="A76" s="41" t="s">
        <v>156</v>
      </c>
      <c r="B76" s="41" t="s">
        <v>45</v>
      </c>
      <c r="C76" s="41" t="s">
        <v>288</v>
      </c>
      <c r="D76" s="41"/>
      <c r="E76" s="41"/>
      <c r="F76" s="41"/>
      <c r="G76" s="41" t="s">
        <v>148</v>
      </c>
      <c r="H76" s="41"/>
    </row>
    <row r="77" spans="1:8" x14ac:dyDescent="0.2">
      <c r="A77" s="41" t="s">
        <v>156</v>
      </c>
      <c r="B77" s="41" t="s">
        <v>45</v>
      </c>
      <c r="C77" s="41" t="s">
        <v>190</v>
      </c>
      <c r="D77" s="41" t="s">
        <v>191</v>
      </c>
      <c r="E77" s="41"/>
      <c r="F77" s="41" t="s">
        <v>148</v>
      </c>
      <c r="G77" s="41"/>
      <c r="H77" s="41"/>
    </row>
    <row r="78" spans="1:8" x14ac:dyDescent="0.2">
      <c r="A78" s="41" t="s">
        <v>156</v>
      </c>
      <c r="B78" s="41" t="s">
        <v>45</v>
      </c>
      <c r="C78" s="41" t="s">
        <v>190</v>
      </c>
      <c r="D78" s="41" t="s">
        <v>192</v>
      </c>
      <c r="E78" s="41"/>
      <c r="F78" s="41" t="s">
        <v>148</v>
      </c>
      <c r="G78" s="41"/>
      <c r="H78" s="41"/>
    </row>
    <row r="79" spans="1:8" x14ac:dyDescent="0.2">
      <c r="A79" s="41" t="s">
        <v>156</v>
      </c>
      <c r="B79" s="41" t="s">
        <v>45</v>
      </c>
      <c r="C79" s="41" t="s">
        <v>190</v>
      </c>
      <c r="D79" s="41" t="s">
        <v>193</v>
      </c>
      <c r="E79" s="41"/>
      <c r="F79" s="41" t="s">
        <v>148</v>
      </c>
      <c r="G79" s="41"/>
      <c r="H79" s="41"/>
    </row>
    <row r="80" spans="1:8" x14ac:dyDescent="0.2">
      <c r="A80" s="41" t="s">
        <v>156</v>
      </c>
      <c r="B80" s="41" t="s">
        <v>45</v>
      </c>
      <c r="C80" s="41" t="s">
        <v>190</v>
      </c>
      <c r="D80" s="41" t="s">
        <v>194</v>
      </c>
      <c r="E80" s="41"/>
      <c r="F80" s="41" t="s">
        <v>148</v>
      </c>
      <c r="G80" s="41"/>
      <c r="H80" s="41"/>
    </row>
    <row r="81" spans="1:8" x14ac:dyDescent="0.2">
      <c r="A81" s="41" t="s">
        <v>156</v>
      </c>
      <c r="B81" s="41" t="s">
        <v>45</v>
      </c>
      <c r="C81" s="41" t="s">
        <v>190</v>
      </c>
      <c r="D81" s="41"/>
      <c r="E81" s="41"/>
      <c r="F81" s="41"/>
      <c r="G81" s="41" t="s">
        <v>148</v>
      </c>
      <c r="H81" s="41"/>
    </row>
    <row r="82" spans="1:8" x14ac:dyDescent="0.2">
      <c r="A82" s="41" t="s">
        <v>156</v>
      </c>
      <c r="B82" s="41" t="s">
        <v>45</v>
      </c>
      <c r="C82" s="41" t="s">
        <v>195</v>
      </c>
      <c r="D82" s="41" t="s">
        <v>196</v>
      </c>
      <c r="E82" s="41"/>
      <c r="F82" s="41" t="s">
        <v>148</v>
      </c>
      <c r="G82" s="41"/>
      <c r="H82" s="41"/>
    </row>
    <row r="83" spans="1:8" x14ac:dyDescent="0.2">
      <c r="A83" s="41" t="s">
        <v>156</v>
      </c>
      <c r="B83" s="41" t="s">
        <v>45</v>
      </c>
      <c r="C83" s="41" t="s">
        <v>195</v>
      </c>
      <c r="D83" s="41"/>
      <c r="E83" s="41"/>
      <c r="F83" s="41"/>
      <c r="G83" s="41" t="s">
        <v>148</v>
      </c>
      <c r="H83" s="41"/>
    </row>
    <row r="84" spans="1:8" x14ac:dyDescent="0.2">
      <c r="A84" s="41" t="s">
        <v>156</v>
      </c>
      <c r="B84" s="41" t="s">
        <v>45</v>
      </c>
      <c r="C84" s="41" t="s">
        <v>289</v>
      </c>
      <c r="D84" s="41"/>
      <c r="E84" s="41"/>
      <c r="F84" s="41"/>
      <c r="G84" s="41" t="s">
        <v>148</v>
      </c>
      <c r="H84" s="41"/>
    </row>
    <row r="85" spans="1:8" x14ac:dyDescent="0.2">
      <c r="A85" s="41" t="s">
        <v>156</v>
      </c>
      <c r="B85" s="41" t="s">
        <v>45</v>
      </c>
      <c r="C85" s="41" t="s">
        <v>197</v>
      </c>
      <c r="D85" s="41" t="s">
        <v>198</v>
      </c>
      <c r="E85" s="41"/>
      <c r="F85" s="41" t="s">
        <v>148</v>
      </c>
      <c r="G85" s="41"/>
      <c r="H85" s="41"/>
    </row>
    <row r="86" spans="1:8" x14ac:dyDescent="0.2">
      <c r="A86" s="41" t="s">
        <v>156</v>
      </c>
      <c r="B86" s="41" t="s">
        <v>45</v>
      </c>
      <c r="C86" s="41" t="s">
        <v>197</v>
      </c>
      <c r="D86" s="41"/>
      <c r="E86" s="41"/>
      <c r="F86" s="41"/>
      <c r="G86" s="41" t="s">
        <v>148</v>
      </c>
      <c r="H86" s="41"/>
    </row>
    <row r="87" spans="1:8" x14ac:dyDescent="0.2">
      <c r="A87" s="41" t="s">
        <v>156</v>
      </c>
      <c r="B87" s="41" t="s">
        <v>45</v>
      </c>
      <c r="C87" s="41" t="s">
        <v>290</v>
      </c>
      <c r="D87" s="41"/>
      <c r="E87" s="41"/>
      <c r="F87" s="41"/>
      <c r="G87" s="41" t="s">
        <v>148</v>
      </c>
      <c r="H87" s="41"/>
    </row>
    <row r="88" spans="1:8" x14ac:dyDescent="0.2">
      <c r="A88" s="41" t="s">
        <v>156</v>
      </c>
      <c r="B88" s="41" t="s">
        <v>45</v>
      </c>
      <c r="C88" s="41" t="s">
        <v>79</v>
      </c>
      <c r="D88" s="41" t="s">
        <v>80</v>
      </c>
      <c r="E88" s="41" t="s">
        <v>148</v>
      </c>
      <c r="F88" s="41"/>
      <c r="G88" s="41"/>
      <c r="H88" s="41" t="s">
        <v>148</v>
      </c>
    </row>
    <row r="89" spans="1:8" x14ac:dyDescent="0.2">
      <c r="A89" s="41" t="s">
        <v>156</v>
      </c>
      <c r="B89" s="41" t="s">
        <v>45</v>
      </c>
      <c r="C89" s="41" t="s">
        <v>291</v>
      </c>
      <c r="D89" s="41"/>
      <c r="E89" s="41"/>
      <c r="F89" s="41"/>
      <c r="G89" s="41" t="s">
        <v>148</v>
      </c>
      <c r="H89" s="41"/>
    </row>
    <row r="90" spans="1:8" x14ac:dyDescent="0.2">
      <c r="A90" s="41" t="s">
        <v>156</v>
      </c>
      <c r="B90" s="41" t="s">
        <v>45</v>
      </c>
      <c r="C90" s="41" t="s">
        <v>292</v>
      </c>
      <c r="D90" s="41"/>
      <c r="E90" s="41"/>
      <c r="F90" s="41"/>
      <c r="G90" s="41" t="s">
        <v>148</v>
      </c>
      <c r="H90" s="41"/>
    </row>
    <row r="91" spans="1:8" x14ac:dyDescent="0.2">
      <c r="A91" s="41" t="s">
        <v>156</v>
      </c>
      <c r="B91" s="41" t="s">
        <v>45</v>
      </c>
      <c r="C91" s="41" t="s">
        <v>293</v>
      </c>
      <c r="D91" s="41"/>
      <c r="E91" s="41"/>
      <c r="F91" s="41"/>
      <c r="G91" s="41" t="s">
        <v>148</v>
      </c>
      <c r="H91" s="41"/>
    </row>
    <row r="92" spans="1:8" x14ac:dyDescent="0.2">
      <c r="A92" s="41" t="s">
        <v>156</v>
      </c>
      <c r="B92" s="41" t="s">
        <v>45</v>
      </c>
      <c r="C92" s="41" t="s">
        <v>199</v>
      </c>
      <c r="D92" s="41" t="s">
        <v>200</v>
      </c>
      <c r="E92" s="41"/>
      <c r="F92" s="41" t="s">
        <v>148</v>
      </c>
      <c r="G92" s="41"/>
      <c r="H92" s="41"/>
    </row>
    <row r="93" spans="1:8" x14ac:dyDescent="0.2">
      <c r="A93" s="41" t="s">
        <v>156</v>
      </c>
      <c r="B93" s="41" t="s">
        <v>45</v>
      </c>
      <c r="C93" s="41" t="s">
        <v>199</v>
      </c>
      <c r="D93" s="41"/>
      <c r="E93" s="41"/>
      <c r="F93" s="41"/>
      <c r="G93" s="41" t="s">
        <v>148</v>
      </c>
      <c r="H93" s="41"/>
    </row>
    <row r="94" spans="1:8" x14ac:dyDescent="0.2">
      <c r="A94" s="41" t="s">
        <v>156</v>
      </c>
      <c r="B94" s="41" t="s">
        <v>45</v>
      </c>
      <c r="C94" s="41" t="s">
        <v>201</v>
      </c>
      <c r="D94" s="41" t="s">
        <v>202</v>
      </c>
      <c r="E94" s="41"/>
      <c r="F94" s="41" t="s">
        <v>148</v>
      </c>
      <c r="G94" s="41"/>
      <c r="H94" s="41"/>
    </row>
    <row r="95" spans="1:8" x14ac:dyDescent="0.2">
      <c r="A95" s="41" t="s">
        <v>156</v>
      </c>
      <c r="B95" s="41" t="s">
        <v>45</v>
      </c>
      <c r="C95" s="41" t="s">
        <v>201</v>
      </c>
      <c r="D95" s="41"/>
      <c r="E95" s="41"/>
      <c r="F95" s="41"/>
      <c r="G95" s="41" t="s">
        <v>148</v>
      </c>
      <c r="H95" s="41"/>
    </row>
    <row r="96" spans="1:8" x14ac:dyDescent="0.2">
      <c r="A96" s="41" t="s">
        <v>156</v>
      </c>
      <c r="B96" s="41" t="s">
        <v>45</v>
      </c>
      <c r="C96" s="41" t="s">
        <v>203</v>
      </c>
      <c r="D96" s="41" t="s">
        <v>204</v>
      </c>
      <c r="E96" s="41"/>
      <c r="F96" s="41" t="s">
        <v>148</v>
      </c>
      <c r="G96" s="41"/>
      <c r="H96" s="41"/>
    </row>
    <row r="97" spans="1:8" x14ac:dyDescent="0.2">
      <c r="A97" s="41" t="s">
        <v>156</v>
      </c>
      <c r="B97" s="41" t="s">
        <v>45</v>
      </c>
      <c r="C97" s="41" t="s">
        <v>203</v>
      </c>
      <c r="D97" s="41"/>
      <c r="E97" s="41"/>
      <c r="F97" s="41"/>
      <c r="G97" s="41" t="s">
        <v>148</v>
      </c>
      <c r="H97" s="41"/>
    </row>
    <row r="98" spans="1:8" x14ac:dyDescent="0.2">
      <c r="A98" s="41" t="s">
        <v>156</v>
      </c>
      <c r="B98" s="41" t="s">
        <v>45</v>
      </c>
      <c r="C98" s="41" t="s">
        <v>205</v>
      </c>
      <c r="D98" s="41" t="s">
        <v>206</v>
      </c>
      <c r="E98" s="41"/>
      <c r="F98" s="41" t="s">
        <v>148</v>
      </c>
      <c r="G98" s="41"/>
      <c r="H98" s="41"/>
    </row>
    <row r="99" spans="1:8" x14ac:dyDescent="0.2">
      <c r="A99" s="41" t="s">
        <v>156</v>
      </c>
      <c r="B99" s="41" t="s">
        <v>45</v>
      </c>
      <c r="C99" s="41" t="s">
        <v>205</v>
      </c>
      <c r="D99" s="41"/>
      <c r="E99" s="41"/>
      <c r="F99" s="41"/>
      <c r="G99" s="41" t="s">
        <v>148</v>
      </c>
      <c r="H99" s="41"/>
    </row>
    <row r="100" spans="1:8" x14ac:dyDescent="0.2">
      <c r="A100" s="41" t="s">
        <v>156</v>
      </c>
      <c r="B100" s="41" t="s">
        <v>45</v>
      </c>
      <c r="C100" s="41" t="s">
        <v>294</v>
      </c>
      <c r="D100" s="41"/>
      <c r="E100" s="41"/>
      <c r="F100" s="41"/>
      <c r="G100" s="41" t="s">
        <v>148</v>
      </c>
      <c r="H100" s="41"/>
    </row>
    <row r="101" spans="1:8" x14ac:dyDescent="0.2">
      <c r="A101" s="41" t="s">
        <v>156</v>
      </c>
      <c r="B101" s="41" t="s">
        <v>45</v>
      </c>
      <c r="C101" s="41" t="s">
        <v>207</v>
      </c>
      <c r="D101" s="41" t="s">
        <v>208</v>
      </c>
      <c r="E101" s="41"/>
      <c r="F101" s="41" t="s">
        <v>148</v>
      </c>
      <c r="G101" s="41"/>
      <c r="H101" s="41"/>
    </row>
    <row r="102" spans="1:8" x14ac:dyDescent="0.2">
      <c r="A102" s="41" t="s">
        <v>156</v>
      </c>
      <c r="B102" s="41" t="s">
        <v>45</v>
      </c>
      <c r="C102" s="41" t="s">
        <v>207</v>
      </c>
      <c r="D102" s="41" t="s">
        <v>209</v>
      </c>
      <c r="E102" s="41"/>
      <c r="F102" s="41" t="s">
        <v>148</v>
      </c>
      <c r="G102" s="41"/>
      <c r="H102" s="41"/>
    </row>
    <row r="103" spans="1:8" x14ac:dyDescent="0.2">
      <c r="A103" s="41" t="s">
        <v>156</v>
      </c>
      <c r="B103" s="41" t="s">
        <v>45</v>
      </c>
      <c r="C103" s="41" t="s">
        <v>207</v>
      </c>
      <c r="D103" s="41"/>
      <c r="E103" s="41"/>
      <c r="F103" s="41"/>
      <c r="G103" s="41" t="s">
        <v>148</v>
      </c>
      <c r="H103" s="41"/>
    </row>
    <row r="104" spans="1:8" x14ac:dyDescent="0.2">
      <c r="A104" s="41" t="s">
        <v>156</v>
      </c>
      <c r="B104" s="41" t="s">
        <v>45</v>
      </c>
      <c r="C104" s="41" t="s">
        <v>81</v>
      </c>
      <c r="D104" s="41" t="s">
        <v>82</v>
      </c>
      <c r="E104" s="41" t="s">
        <v>148</v>
      </c>
      <c r="F104" s="41"/>
      <c r="G104" s="41"/>
      <c r="H104" s="41" t="s">
        <v>148</v>
      </c>
    </row>
    <row r="105" spans="1:8" x14ac:dyDescent="0.2">
      <c r="A105" s="41" t="s">
        <v>156</v>
      </c>
      <c r="B105" s="41" t="s">
        <v>45</v>
      </c>
      <c r="C105" s="41" t="s">
        <v>85</v>
      </c>
      <c r="D105" s="41" t="s">
        <v>86</v>
      </c>
      <c r="E105" s="41" t="s">
        <v>148</v>
      </c>
      <c r="F105" s="41"/>
      <c r="G105" s="41"/>
      <c r="H105" s="41" t="s">
        <v>148</v>
      </c>
    </row>
    <row r="106" spans="1:8" x14ac:dyDescent="0.2">
      <c r="A106" s="41" t="s">
        <v>156</v>
      </c>
      <c r="B106" s="41" t="s">
        <v>45</v>
      </c>
      <c r="C106" s="41" t="s">
        <v>85</v>
      </c>
      <c r="D106" s="41" t="s">
        <v>87</v>
      </c>
      <c r="E106" s="41" t="s">
        <v>148</v>
      </c>
      <c r="F106" s="41"/>
      <c r="G106" s="41"/>
      <c r="H106" s="41" t="s">
        <v>148</v>
      </c>
    </row>
    <row r="107" spans="1:8" x14ac:dyDescent="0.2">
      <c r="A107" s="41" t="s">
        <v>156</v>
      </c>
      <c r="B107" s="41" t="s">
        <v>45</v>
      </c>
      <c r="C107" s="41" t="s">
        <v>210</v>
      </c>
      <c r="D107" s="41" t="s">
        <v>211</v>
      </c>
      <c r="E107" s="41"/>
      <c r="F107" s="41" t="s">
        <v>148</v>
      </c>
      <c r="G107" s="41"/>
      <c r="H107" s="41"/>
    </row>
    <row r="108" spans="1:8" x14ac:dyDescent="0.2">
      <c r="A108" s="41" t="s">
        <v>156</v>
      </c>
      <c r="B108" s="41" t="s">
        <v>45</v>
      </c>
      <c r="C108" s="41" t="s">
        <v>210</v>
      </c>
      <c r="D108" s="41"/>
      <c r="E108" s="41"/>
      <c r="F108" s="41"/>
      <c r="G108" s="41" t="s">
        <v>148</v>
      </c>
      <c r="H108" s="41"/>
    </row>
    <row r="109" spans="1:8" x14ac:dyDescent="0.2">
      <c r="A109" s="41" t="s">
        <v>156</v>
      </c>
      <c r="B109" s="41" t="s">
        <v>45</v>
      </c>
      <c r="C109" s="41" t="s">
        <v>83</v>
      </c>
      <c r="D109" s="41" t="s">
        <v>84</v>
      </c>
      <c r="E109" s="41" t="s">
        <v>148</v>
      </c>
      <c r="F109" s="41"/>
      <c r="G109" s="41"/>
      <c r="H109" s="41" t="s">
        <v>148</v>
      </c>
    </row>
    <row r="110" spans="1:8" x14ac:dyDescent="0.2">
      <c r="A110" s="41" t="s">
        <v>156</v>
      </c>
      <c r="B110" s="41" t="s">
        <v>45</v>
      </c>
      <c r="C110" s="41" t="s">
        <v>83</v>
      </c>
      <c r="D110" s="41" t="s">
        <v>212</v>
      </c>
      <c r="E110" s="41"/>
      <c r="F110" s="41" t="s">
        <v>148</v>
      </c>
      <c r="G110" s="41"/>
      <c r="H110" s="41"/>
    </row>
    <row r="111" spans="1:8" x14ac:dyDescent="0.2">
      <c r="A111" s="41" t="s">
        <v>156</v>
      </c>
      <c r="B111" s="41" t="s">
        <v>45</v>
      </c>
      <c r="C111" s="41" t="s">
        <v>213</v>
      </c>
      <c r="D111" s="41" t="s">
        <v>214</v>
      </c>
      <c r="E111" s="41"/>
      <c r="F111" s="41" t="s">
        <v>148</v>
      </c>
      <c r="G111" s="41"/>
      <c r="H111" s="41"/>
    </row>
    <row r="112" spans="1:8" x14ac:dyDescent="0.2">
      <c r="A112" s="41" t="s">
        <v>156</v>
      </c>
      <c r="B112" s="41" t="s">
        <v>45</v>
      </c>
      <c r="C112" s="41" t="s">
        <v>213</v>
      </c>
      <c r="D112" s="41" t="s">
        <v>215</v>
      </c>
      <c r="E112" s="41"/>
      <c r="F112" s="41" t="s">
        <v>148</v>
      </c>
      <c r="G112" s="41"/>
      <c r="H112" s="41"/>
    </row>
    <row r="113" spans="1:8" x14ac:dyDescent="0.2">
      <c r="A113" s="41" t="s">
        <v>156</v>
      </c>
      <c r="B113" s="41" t="s">
        <v>45</v>
      </c>
      <c r="C113" s="41" t="s">
        <v>213</v>
      </c>
      <c r="D113" s="41"/>
      <c r="E113" s="41"/>
      <c r="F113" s="41"/>
      <c r="G113" s="41" t="s">
        <v>148</v>
      </c>
      <c r="H113" s="41"/>
    </row>
    <row r="114" spans="1:8" x14ac:dyDescent="0.2">
      <c r="A114" s="41" t="s">
        <v>156</v>
      </c>
      <c r="B114" s="41" t="s">
        <v>45</v>
      </c>
      <c r="C114" s="41" t="s">
        <v>295</v>
      </c>
      <c r="D114" s="41"/>
      <c r="E114" s="41"/>
      <c r="F114" s="41"/>
      <c r="G114" s="41" t="s">
        <v>148</v>
      </c>
      <c r="H114" s="41"/>
    </row>
    <row r="115" spans="1:8" x14ac:dyDescent="0.2">
      <c r="A115" s="41" t="s">
        <v>156</v>
      </c>
      <c r="B115" s="41" t="s">
        <v>45</v>
      </c>
      <c r="C115" s="41" t="s">
        <v>295</v>
      </c>
      <c r="D115" s="41" t="s">
        <v>216</v>
      </c>
      <c r="E115" s="41"/>
      <c r="F115" s="41" t="s">
        <v>148</v>
      </c>
      <c r="G115" s="41"/>
      <c r="H115" s="41"/>
    </row>
    <row r="116" spans="1:8" x14ac:dyDescent="0.2">
      <c r="A116" s="41" t="s">
        <v>156</v>
      </c>
      <c r="B116" s="41" t="s">
        <v>45</v>
      </c>
      <c r="C116" s="41" t="s">
        <v>217</v>
      </c>
      <c r="D116" s="41" t="s">
        <v>218</v>
      </c>
      <c r="E116" s="41"/>
      <c r="F116" s="41" t="s">
        <v>148</v>
      </c>
      <c r="G116" s="41"/>
      <c r="H116" s="41"/>
    </row>
    <row r="117" spans="1:8" x14ac:dyDescent="0.2">
      <c r="A117" s="41" t="s">
        <v>156</v>
      </c>
      <c r="B117" s="41" t="s">
        <v>45</v>
      </c>
      <c r="C117" s="41" t="s">
        <v>217</v>
      </c>
      <c r="D117" s="41"/>
      <c r="E117" s="41"/>
      <c r="F117" s="41"/>
      <c r="G117" s="41" t="s">
        <v>148</v>
      </c>
      <c r="H117" s="41"/>
    </row>
    <row r="118" spans="1:8" x14ac:dyDescent="0.2">
      <c r="A118" s="41" t="s">
        <v>156</v>
      </c>
      <c r="B118" s="41" t="s">
        <v>45</v>
      </c>
      <c r="C118" s="41" t="s">
        <v>88</v>
      </c>
      <c r="D118" s="41"/>
      <c r="E118" s="41" t="s">
        <v>148</v>
      </c>
      <c r="F118" s="41"/>
      <c r="G118" s="41"/>
      <c r="H118" s="41" t="s">
        <v>148</v>
      </c>
    </row>
    <row r="119" spans="1:8" x14ac:dyDescent="0.2">
      <c r="A119" s="41" t="s">
        <v>156</v>
      </c>
      <c r="B119" s="41" t="s">
        <v>45</v>
      </c>
      <c r="C119" s="41" t="s">
        <v>89</v>
      </c>
      <c r="D119" s="41" t="s">
        <v>90</v>
      </c>
      <c r="E119" s="41" t="s">
        <v>148</v>
      </c>
      <c r="F119" s="41"/>
      <c r="G119" s="41"/>
      <c r="H119" s="41" t="s">
        <v>148</v>
      </c>
    </row>
    <row r="120" spans="1:8" x14ac:dyDescent="0.2">
      <c r="A120" s="41" t="s">
        <v>156</v>
      </c>
      <c r="B120" s="41" t="s">
        <v>45</v>
      </c>
      <c r="C120" s="41" t="s">
        <v>89</v>
      </c>
      <c r="D120" s="41" t="s">
        <v>91</v>
      </c>
      <c r="E120" s="41" t="s">
        <v>148</v>
      </c>
      <c r="F120" s="41"/>
      <c r="G120" s="41"/>
      <c r="H120" s="41" t="s">
        <v>148</v>
      </c>
    </row>
    <row r="121" spans="1:8" x14ac:dyDescent="0.2">
      <c r="A121" s="41" t="s">
        <v>156</v>
      </c>
      <c r="B121" s="41" t="s">
        <v>45</v>
      </c>
      <c r="C121" s="41" t="s">
        <v>89</v>
      </c>
      <c r="D121" s="41" t="s">
        <v>92</v>
      </c>
      <c r="E121" s="41" t="s">
        <v>148</v>
      </c>
      <c r="F121" s="41"/>
      <c r="G121" s="41"/>
      <c r="H121" s="41" t="s">
        <v>148</v>
      </c>
    </row>
    <row r="122" spans="1:8" x14ac:dyDescent="0.2">
      <c r="A122" s="41" t="s">
        <v>156</v>
      </c>
      <c r="B122" s="41" t="s">
        <v>45</v>
      </c>
      <c r="C122" s="41" t="s">
        <v>219</v>
      </c>
      <c r="D122" s="41" t="s">
        <v>220</v>
      </c>
      <c r="E122" s="41"/>
      <c r="F122" s="41" t="s">
        <v>148</v>
      </c>
      <c r="G122" s="41"/>
      <c r="H122" s="41"/>
    </row>
    <row r="123" spans="1:8" x14ac:dyDescent="0.2">
      <c r="A123" s="41" t="s">
        <v>156</v>
      </c>
      <c r="B123" s="41" t="s">
        <v>45</v>
      </c>
      <c r="C123" s="41" t="s">
        <v>219</v>
      </c>
      <c r="D123" s="41"/>
      <c r="E123" s="41"/>
      <c r="F123" s="41"/>
      <c r="G123" s="41" t="s">
        <v>148</v>
      </c>
      <c r="H123" s="41"/>
    </row>
    <row r="124" spans="1:8" x14ac:dyDescent="0.2">
      <c r="A124" s="41" t="s">
        <v>156</v>
      </c>
      <c r="B124" s="41" t="s">
        <v>45</v>
      </c>
      <c r="C124" s="41" t="s">
        <v>221</v>
      </c>
      <c r="D124" s="41" t="s">
        <v>222</v>
      </c>
      <c r="E124" s="41"/>
      <c r="F124" s="41" t="s">
        <v>148</v>
      </c>
      <c r="G124" s="41"/>
      <c r="H124" s="41"/>
    </row>
    <row r="125" spans="1:8" x14ac:dyDescent="0.2">
      <c r="A125" s="41" t="s">
        <v>156</v>
      </c>
      <c r="B125" s="41" t="s">
        <v>45</v>
      </c>
      <c r="C125" s="41" t="s">
        <v>221</v>
      </c>
      <c r="D125" s="41" t="s">
        <v>334</v>
      </c>
      <c r="E125" s="41"/>
      <c r="F125" s="41"/>
      <c r="G125" s="41" t="s">
        <v>148</v>
      </c>
      <c r="H125" s="41"/>
    </row>
    <row r="126" spans="1:8" x14ac:dyDescent="0.2">
      <c r="A126" s="41" t="s">
        <v>156</v>
      </c>
      <c r="B126" s="41" t="s">
        <v>45</v>
      </c>
      <c r="C126" s="41" t="s">
        <v>221</v>
      </c>
      <c r="D126" s="41" t="s">
        <v>447</v>
      </c>
      <c r="E126" s="41"/>
      <c r="F126" s="41"/>
      <c r="G126" s="41" t="s">
        <v>148</v>
      </c>
      <c r="H126" s="41"/>
    </row>
    <row r="127" spans="1:8" x14ac:dyDescent="0.2">
      <c r="A127" s="41" t="s">
        <v>156</v>
      </c>
      <c r="B127" s="41" t="s">
        <v>45</v>
      </c>
      <c r="C127" s="41" t="s">
        <v>221</v>
      </c>
      <c r="D127" s="41" t="s">
        <v>335</v>
      </c>
      <c r="E127" s="41"/>
      <c r="F127" s="41"/>
      <c r="G127" s="41" t="s">
        <v>148</v>
      </c>
      <c r="H127" s="41"/>
    </row>
    <row r="128" spans="1:8" x14ac:dyDescent="0.2">
      <c r="A128" s="41" t="s">
        <v>156</v>
      </c>
      <c r="B128" s="41" t="s">
        <v>45</v>
      </c>
      <c r="C128" s="41" t="s">
        <v>223</v>
      </c>
      <c r="D128" s="41" t="s">
        <v>224</v>
      </c>
      <c r="E128" s="41"/>
      <c r="F128" s="41" t="s">
        <v>148</v>
      </c>
      <c r="G128" s="41"/>
      <c r="H128" s="41"/>
    </row>
    <row r="129" spans="1:8" x14ac:dyDescent="0.2">
      <c r="A129" s="41" t="s">
        <v>156</v>
      </c>
      <c r="B129" s="41" t="s">
        <v>45</v>
      </c>
      <c r="C129" s="41" t="s">
        <v>223</v>
      </c>
      <c r="D129" s="41" t="s">
        <v>225</v>
      </c>
      <c r="E129" s="41"/>
      <c r="F129" s="41" t="s">
        <v>148</v>
      </c>
      <c r="G129" s="41"/>
      <c r="H129" s="41"/>
    </row>
    <row r="130" spans="1:8" x14ac:dyDescent="0.2">
      <c r="A130" s="41" t="s">
        <v>156</v>
      </c>
      <c r="B130" s="41" t="s">
        <v>45</v>
      </c>
      <c r="C130" s="41" t="s">
        <v>223</v>
      </c>
      <c r="D130" s="41"/>
      <c r="E130" s="41"/>
      <c r="F130" s="41"/>
      <c r="G130" s="41" t="s">
        <v>148</v>
      </c>
      <c r="H130" s="41"/>
    </row>
    <row r="131" spans="1:8" x14ac:dyDescent="0.2">
      <c r="A131" s="41" t="s">
        <v>156</v>
      </c>
      <c r="B131" s="41" t="s">
        <v>45</v>
      </c>
      <c r="C131" s="41" t="s">
        <v>296</v>
      </c>
      <c r="D131" s="41"/>
      <c r="E131" s="41"/>
      <c r="F131" s="41"/>
      <c r="G131" s="41" t="s">
        <v>148</v>
      </c>
      <c r="H131" s="41"/>
    </row>
    <row r="132" spans="1:8" x14ac:dyDescent="0.2">
      <c r="A132" s="41" t="s">
        <v>156</v>
      </c>
      <c r="B132" s="41" t="s">
        <v>45</v>
      </c>
      <c r="C132" s="41" t="s">
        <v>297</v>
      </c>
      <c r="D132" s="41"/>
      <c r="E132" s="41"/>
      <c r="F132" s="41"/>
      <c r="G132" s="41" t="s">
        <v>148</v>
      </c>
      <c r="H132" s="41"/>
    </row>
    <row r="133" spans="1:8" x14ac:dyDescent="0.2">
      <c r="A133" s="41" t="s">
        <v>156</v>
      </c>
      <c r="B133" s="41" t="s">
        <v>45</v>
      </c>
      <c r="C133" s="41" t="s">
        <v>298</v>
      </c>
      <c r="D133" s="41"/>
      <c r="E133" s="41"/>
      <c r="F133" s="41"/>
      <c r="G133" s="41" t="s">
        <v>148</v>
      </c>
      <c r="H133" s="41"/>
    </row>
    <row r="134" spans="1:8" x14ac:dyDescent="0.2">
      <c r="A134" s="41" t="s">
        <v>156</v>
      </c>
      <c r="B134" s="41" t="s">
        <v>45</v>
      </c>
      <c r="C134" s="41" t="s">
        <v>298</v>
      </c>
      <c r="D134" s="41" t="s">
        <v>226</v>
      </c>
      <c r="E134" s="41"/>
      <c r="F134" s="41" t="s">
        <v>148</v>
      </c>
      <c r="G134" s="41"/>
      <c r="H134" s="41"/>
    </row>
    <row r="135" spans="1:8" x14ac:dyDescent="0.2">
      <c r="A135" s="41" t="s">
        <v>156</v>
      </c>
      <c r="B135" s="41" t="s">
        <v>45</v>
      </c>
      <c r="C135" s="41" t="s">
        <v>227</v>
      </c>
      <c r="D135" s="41" t="s">
        <v>228</v>
      </c>
      <c r="E135" s="41"/>
      <c r="F135" s="41" t="s">
        <v>148</v>
      </c>
      <c r="G135" s="41"/>
      <c r="H135" s="41"/>
    </row>
    <row r="136" spans="1:8" x14ac:dyDescent="0.2">
      <c r="A136" s="41" t="s">
        <v>156</v>
      </c>
      <c r="B136" s="41" t="s">
        <v>45</v>
      </c>
      <c r="C136" s="41" t="s">
        <v>227</v>
      </c>
      <c r="D136" s="41"/>
      <c r="E136" s="41"/>
      <c r="F136" s="41"/>
      <c r="G136" s="41" t="s">
        <v>148</v>
      </c>
      <c r="H136" s="41"/>
    </row>
    <row r="137" spans="1:8" x14ac:dyDescent="0.2">
      <c r="A137" s="41" t="s">
        <v>156</v>
      </c>
      <c r="B137" s="41" t="s">
        <v>45</v>
      </c>
      <c r="C137" s="41" t="s">
        <v>299</v>
      </c>
      <c r="D137" s="41"/>
      <c r="E137" s="41"/>
      <c r="F137" s="41"/>
      <c r="G137" s="41" t="s">
        <v>148</v>
      </c>
      <c r="H137" s="41"/>
    </row>
    <row r="138" spans="1:8" x14ac:dyDescent="0.2">
      <c r="A138" s="41" t="s">
        <v>156</v>
      </c>
      <c r="B138" s="41" t="s">
        <v>45</v>
      </c>
      <c r="C138" s="41" t="s">
        <v>300</v>
      </c>
      <c r="D138" s="41"/>
      <c r="E138" s="41"/>
      <c r="F138" s="41"/>
      <c r="G138" s="41" t="s">
        <v>148</v>
      </c>
      <c r="H138" s="41"/>
    </row>
    <row r="139" spans="1:8" x14ac:dyDescent="0.2">
      <c r="A139" s="41" t="s">
        <v>156</v>
      </c>
      <c r="B139" s="41" t="s">
        <v>45</v>
      </c>
      <c r="C139" s="41" t="s">
        <v>300</v>
      </c>
      <c r="D139" s="41" t="s">
        <v>229</v>
      </c>
      <c r="E139" s="41"/>
      <c r="F139" s="41" t="s">
        <v>148</v>
      </c>
      <c r="G139" s="41" t="s">
        <v>148</v>
      </c>
      <c r="H139" s="41"/>
    </row>
    <row r="140" spans="1:8" x14ac:dyDescent="0.2">
      <c r="A140" s="41" t="s">
        <v>156</v>
      </c>
      <c r="B140" s="41" t="s">
        <v>45</v>
      </c>
      <c r="C140" s="41" t="s">
        <v>300</v>
      </c>
      <c r="D140" s="41" t="s">
        <v>655</v>
      </c>
      <c r="E140" s="41"/>
      <c r="F140" s="41" t="s">
        <v>148</v>
      </c>
      <c r="G140" s="41"/>
      <c r="H140" s="41"/>
    </row>
    <row r="141" spans="1:8" x14ac:dyDescent="0.2">
      <c r="A141" s="41" t="s">
        <v>156</v>
      </c>
      <c r="B141" s="41" t="s">
        <v>45</v>
      </c>
      <c r="C141" s="41" t="s">
        <v>230</v>
      </c>
      <c r="D141" s="41" t="s">
        <v>333</v>
      </c>
      <c r="E141" s="41"/>
      <c r="F141" s="41" t="s">
        <v>148</v>
      </c>
      <c r="G141" s="41"/>
      <c r="H141" s="41"/>
    </row>
    <row r="142" spans="1:8" x14ac:dyDescent="0.2">
      <c r="A142" s="41" t="s">
        <v>156</v>
      </c>
      <c r="B142" s="41" t="s">
        <v>45</v>
      </c>
      <c r="C142" s="41" t="s">
        <v>230</v>
      </c>
      <c r="D142" s="41"/>
      <c r="E142" s="41"/>
      <c r="F142" s="41" t="s">
        <v>148</v>
      </c>
      <c r="G142" s="41" t="s">
        <v>148</v>
      </c>
      <c r="H142" s="41"/>
    </row>
    <row r="143" spans="1:8" x14ac:dyDescent="0.2">
      <c r="A143" s="41" t="s">
        <v>156</v>
      </c>
      <c r="B143" s="41" t="s">
        <v>45</v>
      </c>
      <c r="C143" s="41" t="s">
        <v>301</v>
      </c>
      <c r="D143" s="41"/>
      <c r="E143" s="41"/>
      <c r="F143" s="41"/>
      <c r="G143" s="41" t="s">
        <v>148</v>
      </c>
      <c r="H143" s="41"/>
    </row>
    <row r="144" spans="1:8" x14ac:dyDescent="0.2">
      <c r="A144" s="41" t="s">
        <v>156</v>
      </c>
      <c r="B144" s="41" t="s">
        <v>45</v>
      </c>
      <c r="C144" s="41" t="s">
        <v>301</v>
      </c>
      <c r="D144" s="41" t="s">
        <v>231</v>
      </c>
      <c r="E144" s="41"/>
      <c r="F144" s="41" t="s">
        <v>148</v>
      </c>
      <c r="G144" s="41"/>
      <c r="H144" s="41"/>
    </row>
    <row r="145" spans="1:8" x14ac:dyDescent="0.2">
      <c r="A145" s="41" t="s">
        <v>156</v>
      </c>
      <c r="B145" s="41" t="s">
        <v>45</v>
      </c>
      <c r="C145" s="41" t="s">
        <v>232</v>
      </c>
      <c r="D145" s="41" t="s">
        <v>233</v>
      </c>
      <c r="E145" s="41"/>
      <c r="F145" s="41" t="s">
        <v>148</v>
      </c>
      <c r="G145" s="41"/>
      <c r="H145" s="41"/>
    </row>
    <row r="146" spans="1:8" x14ac:dyDescent="0.2">
      <c r="A146" s="41" t="s">
        <v>156</v>
      </c>
      <c r="B146" s="41" t="s">
        <v>45</v>
      </c>
      <c r="C146" s="41" t="s">
        <v>232</v>
      </c>
      <c r="D146" s="41"/>
      <c r="E146" s="41"/>
      <c r="F146" s="41" t="s">
        <v>148</v>
      </c>
      <c r="G146" s="41" t="s">
        <v>148</v>
      </c>
      <c r="H146" s="41"/>
    </row>
    <row r="147" spans="1:8" x14ac:dyDescent="0.2">
      <c r="A147" s="41" t="s">
        <v>156</v>
      </c>
      <c r="B147" s="41" t="s">
        <v>45</v>
      </c>
      <c r="C147" s="41" t="s">
        <v>234</v>
      </c>
      <c r="D147" s="41" t="s">
        <v>235</v>
      </c>
      <c r="E147" s="41"/>
      <c r="F147" s="41" t="s">
        <v>148</v>
      </c>
      <c r="G147" s="41"/>
      <c r="H147" s="41"/>
    </row>
    <row r="148" spans="1:8" x14ac:dyDescent="0.2">
      <c r="A148" s="41" t="s">
        <v>156</v>
      </c>
      <c r="B148" s="41" t="s">
        <v>45</v>
      </c>
      <c r="C148" s="41" t="s">
        <v>234</v>
      </c>
      <c r="D148" s="41"/>
      <c r="E148" s="41"/>
      <c r="F148" s="41"/>
      <c r="G148" s="41" t="s">
        <v>148</v>
      </c>
      <c r="H148" s="41"/>
    </row>
    <row r="149" spans="1:8" x14ac:dyDescent="0.2">
      <c r="A149" s="41" t="s">
        <v>156</v>
      </c>
      <c r="B149" s="41" t="s">
        <v>45</v>
      </c>
      <c r="C149" s="41" t="s">
        <v>302</v>
      </c>
      <c r="D149" s="41"/>
      <c r="E149" s="41"/>
      <c r="F149" s="41"/>
      <c r="G149" s="41" t="s">
        <v>148</v>
      </c>
      <c r="H149" s="41"/>
    </row>
    <row r="150" spans="1:8" x14ac:dyDescent="0.2">
      <c r="A150" s="41" t="s">
        <v>156</v>
      </c>
      <c r="B150" s="41" t="s">
        <v>45</v>
      </c>
      <c r="C150" s="41" t="s">
        <v>93</v>
      </c>
      <c r="D150" s="41" t="s">
        <v>94</v>
      </c>
      <c r="E150" s="41" t="s">
        <v>148</v>
      </c>
      <c r="F150" s="41"/>
      <c r="G150" s="41"/>
      <c r="H150" s="41" t="s">
        <v>148</v>
      </c>
    </row>
    <row r="151" spans="1:8" x14ac:dyDescent="0.2">
      <c r="A151" s="41" t="s">
        <v>156</v>
      </c>
      <c r="B151" s="41" t="s">
        <v>45</v>
      </c>
      <c r="C151" s="41" t="s">
        <v>93</v>
      </c>
      <c r="D151" s="41" t="s">
        <v>497</v>
      </c>
      <c r="E151" s="41" t="s">
        <v>148</v>
      </c>
      <c r="F151" s="41"/>
      <c r="G151" s="41"/>
      <c r="H151" s="41" t="s">
        <v>148</v>
      </c>
    </row>
    <row r="152" spans="1:8" x14ac:dyDescent="0.2">
      <c r="A152" s="41" t="s">
        <v>156</v>
      </c>
      <c r="B152" s="41" t="s">
        <v>45</v>
      </c>
      <c r="C152" s="41" t="s">
        <v>93</v>
      </c>
      <c r="D152" s="41" t="s">
        <v>97</v>
      </c>
      <c r="E152" s="41" t="s">
        <v>148</v>
      </c>
      <c r="F152" s="41"/>
      <c r="G152" s="41"/>
      <c r="H152" s="41" t="s">
        <v>148</v>
      </c>
    </row>
    <row r="153" spans="1:8" x14ac:dyDescent="0.2">
      <c r="A153" s="41" t="s">
        <v>156</v>
      </c>
      <c r="B153" s="41" t="s">
        <v>45</v>
      </c>
      <c r="C153" s="41" t="s">
        <v>93</v>
      </c>
      <c r="D153" s="41" t="s">
        <v>98</v>
      </c>
      <c r="E153" s="41" t="s">
        <v>148</v>
      </c>
      <c r="F153" s="41"/>
      <c r="G153" s="41"/>
      <c r="H153" s="41" t="s">
        <v>148</v>
      </c>
    </row>
    <row r="154" spans="1:8" x14ac:dyDescent="0.2">
      <c r="A154" s="41" t="s">
        <v>156</v>
      </c>
      <c r="B154" s="41" t="s">
        <v>45</v>
      </c>
      <c r="C154" s="41" t="s">
        <v>93</v>
      </c>
      <c r="D154" s="41" t="s">
        <v>236</v>
      </c>
      <c r="E154" s="41"/>
      <c r="F154" s="41" t="s">
        <v>148</v>
      </c>
      <c r="G154" s="41"/>
      <c r="H154" s="41"/>
    </row>
    <row r="155" spans="1:8" x14ac:dyDescent="0.2">
      <c r="A155" s="41" t="s">
        <v>156</v>
      </c>
      <c r="B155" s="41" t="s">
        <v>45</v>
      </c>
      <c r="C155" s="41" t="s">
        <v>93</v>
      </c>
      <c r="D155" s="41" t="s">
        <v>237</v>
      </c>
      <c r="E155" s="41"/>
      <c r="F155" s="41" t="s">
        <v>148</v>
      </c>
      <c r="G155" s="41"/>
      <c r="H155" s="41"/>
    </row>
    <row r="156" spans="1:8" x14ac:dyDescent="0.2">
      <c r="A156" s="41" t="s">
        <v>156</v>
      </c>
      <c r="B156" s="41" t="s">
        <v>45</v>
      </c>
      <c r="C156" s="41" t="s">
        <v>93</v>
      </c>
      <c r="D156" s="41" t="s">
        <v>238</v>
      </c>
      <c r="E156" s="41"/>
      <c r="F156" s="41" t="s">
        <v>148</v>
      </c>
      <c r="G156" s="41"/>
      <c r="H156" s="41"/>
    </row>
    <row r="157" spans="1:8" x14ac:dyDescent="0.2">
      <c r="A157" s="41" t="s">
        <v>156</v>
      </c>
      <c r="B157" s="41" t="s">
        <v>45</v>
      </c>
      <c r="C157" s="41" t="s">
        <v>93</v>
      </c>
      <c r="D157" s="41" t="s">
        <v>239</v>
      </c>
      <c r="E157" s="41"/>
      <c r="F157" s="41" t="s">
        <v>148</v>
      </c>
      <c r="G157" s="41"/>
      <c r="H157" s="41"/>
    </row>
    <row r="158" spans="1:8" x14ac:dyDescent="0.2">
      <c r="A158" s="41" t="s">
        <v>156</v>
      </c>
      <c r="B158" s="41" t="s">
        <v>45</v>
      </c>
      <c r="C158" s="41" t="s">
        <v>93</v>
      </c>
      <c r="D158" s="41" t="s">
        <v>240</v>
      </c>
      <c r="E158" s="41"/>
      <c r="F158" s="41" t="s">
        <v>148</v>
      </c>
      <c r="G158" s="41"/>
      <c r="H158" s="41"/>
    </row>
    <row r="159" spans="1:8" x14ac:dyDescent="0.2">
      <c r="A159" s="41" t="s">
        <v>156</v>
      </c>
      <c r="B159" s="41" t="s">
        <v>45</v>
      </c>
      <c r="C159" s="41" t="s">
        <v>93</v>
      </c>
      <c r="D159" s="41" t="s">
        <v>241</v>
      </c>
      <c r="E159" s="41"/>
      <c r="F159" s="41" t="s">
        <v>148</v>
      </c>
      <c r="G159" s="41"/>
      <c r="H159" s="41"/>
    </row>
    <row r="160" spans="1:8" x14ac:dyDescent="0.2">
      <c r="A160" s="41" t="s">
        <v>156</v>
      </c>
      <c r="B160" s="41" t="s">
        <v>45</v>
      </c>
      <c r="C160" s="41" t="s">
        <v>93</v>
      </c>
      <c r="D160" s="41"/>
      <c r="E160" s="41"/>
      <c r="F160" s="41" t="s">
        <v>148</v>
      </c>
      <c r="G160" s="41" t="s">
        <v>148</v>
      </c>
      <c r="H160" s="41"/>
    </row>
    <row r="161" spans="1:8" x14ac:dyDescent="0.2">
      <c r="A161" s="41" t="s">
        <v>156</v>
      </c>
      <c r="B161" s="41" t="s">
        <v>45</v>
      </c>
      <c r="C161" s="41" t="s">
        <v>242</v>
      </c>
      <c r="D161" s="41" t="s">
        <v>243</v>
      </c>
      <c r="E161" s="41"/>
      <c r="F161" s="41" t="s">
        <v>148</v>
      </c>
      <c r="G161" s="41"/>
      <c r="H161" s="41"/>
    </row>
    <row r="162" spans="1:8" x14ac:dyDescent="0.2">
      <c r="A162" s="41" t="s">
        <v>156</v>
      </c>
      <c r="B162" s="41" t="s">
        <v>45</v>
      </c>
      <c r="C162" s="41" t="s">
        <v>242</v>
      </c>
      <c r="D162" s="41" t="s">
        <v>244</v>
      </c>
      <c r="E162" s="41"/>
      <c r="F162" s="41" t="s">
        <v>148</v>
      </c>
      <c r="G162" s="41"/>
      <c r="H162" s="41"/>
    </row>
    <row r="163" spans="1:8" x14ac:dyDescent="0.2">
      <c r="A163" s="41" t="s">
        <v>156</v>
      </c>
      <c r="B163" s="41" t="s">
        <v>45</v>
      </c>
      <c r="C163" s="41" t="s">
        <v>242</v>
      </c>
      <c r="D163" s="41"/>
      <c r="E163" s="41"/>
      <c r="F163" s="41"/>
      <c r="G163" s="41" t="s">
        <v>148</v>
      </c>
      <c r="H163" s="41"/>
    </row>
    <row r="164" spans="1:8" x14ac:dyDescent="0.2">
      <c r="A164" s="41" t="s">
        <v>156</v>
      </c>
      <c r="B164" s="41" t="s">
        <v>45</v>
      </c>
      <c r="C164" s="41" t="s">
        <v>95</v>
      </c>
      <c r="D164" s="41" t="s">
        <v>96</v>
      </c>
      <c r="E164" s="41" t="s">
        <v>148</v>
      </c>
      <c r="F164" s="41"/>
      <c r="G164" s="41"/>
      <c r="H164" s="41" t="s">
        <v>148</v>
      </c>
    </row>
    <row r="165" spans="1:8" x14ac:dyDescent="0.2">
      <c r="A165" s="41" t="s">
        <v>156</v>
      </c>
      <c r="B165" s="41" t="s">
        <v>45</v>
      </c>
      <c r="C165" s="41" t="s">
        <v>95</v>
      </c>
      <c r="D165" s="41" t="s">
        <v>99</v>
      </c>
      <c r="E165" s="41" t="s">
        <v>148</v>
      </c>
      <c r="F165" s="41"/>
      <c r="G165" s="41"/>
      <c r="H165" s="41" t="s">
        <v>148</v>
      </c>
    </row>
    <row r="166" spans="1:8" x14ac:dyDescent="0.2">
      <c r="A166" s="41" t="s">
        <v>156</v>
      </c>
      <c r="B166" s="41" t="s">
        <v>45</v>
      </c>
      <c r="C166" s="41" t="s">
        <v>303</v>
      </c>
      <c r="D166" s="41"/>
      <c r="E166" s="41"/>
      <c r="F166" s="41"/>
      <c r="G166" s="41" t="s">
        <v>148</v>
      </c>
      <c r="H166" s="41"/>
    </row>
    <row r="167" spans="1:8" x14ac:dyDescent="0.2">
      <c r="A167" s="41" t="s">
        <v>156</v>
      </c>
      <c r="B167" s="41" t="s">
        <v>45</v>
      </c>
      <c r="C167" s="41" t="s">
        <v>304</v>
      </c>
      <c r="D167" s="41"/>
      <c r="E167" s="41"/>
      <c r="F167" s="41"/>
      <c r="G167" s="41" t="s">
        <v>148</v>
      </c>
      <c r="H167" s="41"/>
    </row>
    <row r="168" spans="1:8" x14ac:dyDescent="0.2">
      <c r="A168" s="41" t="s">
        <v>156</v>
      </c>
      <c r="B168" s="41" t="s">
        <v>45</v>
      </c>
      <c r="C168" s="41" t="s">
        <v>122</v>
      </c>
      <c r="D168" s="41"/>
      <c r="E168" s="41"/>
      <c r="F168" s="41"/>
      <c r="G168" s="41" t="s">
        <v>148</v>
      </c>
      <c r="H168" s="41"/>
    </row>
    <row r="169" spans="1:8" x14ac:dyDescent="0.2">
      <c r="A169" s="41" t="s">
        <v>156</v>
      </c>
      <c r="B169" s="41" t="s">
        <v>45</v>
      </c>
      <c r="C169" s="41" t="s">
        <v>305</v>
      </c>
      <c r="D169" s="41"/>
      <c r="E169" s="41"/>
      <c r="F169" s="41"/>
      <c r="G169" s="41" t="s">
        <v>148</v>
      </c>
      <c r="H169" s="41"/>
    </row>
    <row r="170" spans="1:8" x14ac:dyDescent="0.2">
      <c r="A170" s="41" t="s">
        <v>156</v>
      </c>
      <c r="B170" s="41" t="s">
        <v>45</v>
      </c>
      <c r="C170" s="41" t="s">
        <v>305</v>
      </c>
      <c r="D170" s="41" t="s">
        <v>245</v>
      </c>
      <c r="E170" s="41"/>
      <c r="F170" s="41" t="s">
        <v>148</v>
      </c>
      <c r="G170" s="41"/>
      <c r="H170" s="41"/>
    </row>
    <row r="171" spans="1:8" x14ac:dyDescent="0.2">
      <c r="A171" s="41" t="s">
        <v>156</v>
      </c>
      <c r="B171" s="41" t="s">
        <v>45</v>
      </c>
      <c r="C171" s="41" t="s">
        <v>104</v>
      </c>
      <c r="D171" s="41" t="s">
        <v>105</v>
      </c>
      <c r="E171" s="41" t="s">
        <v>148</v>
      </c>
      <c r="F171" s="41"/>
      <c r="G171" s="41"/>
      <c r="H171" s="41" t="s">
        <v>148</v>
      </c>
    </row>
    <row r="172" spans="1:8" x14ac:dyDescent="0.2">
      <c r="A172" s="41" t="s">
        <v>156</v>
      </c>
      <c r="B172" s="41" t="s">
        <v>45</v>
      </c>
      <c r="C172" s="41" t="s">
        <v>104</v>
      </c>
      <c r="D172" s="41" t="s">
        <v>106</v>
      </c>
      <c r="E172" s="41" t="s">
        <v>148</v>
      </c>
      <c r="F172" s="41"/>
      <c r="G172" s="41"/>
      <c r="H172" s="41" t="s">
        <v>148</v>
      </c>
    </row>
    <row r="173" spans="1:8" x14ac:dyDescent="0.2">
      <c r="A173" s="41" t="s">
        <v>156</v>
      </c>
      <c r="B173" s="41" t="s">
        <v>45</v>
      </c>
      <c r="C173" s="41" t="s">
        <v>104</v>
      </c>
      <c r="D173" s="41" t="s">
        <v>105</v>
      </c>
      <c r="E173" s="41"/>
      <c r="F173" s="41" t="s">
        <v>148</v>
      </c>
      <c r="G173" s="41"/>
      <c r="H173" s="41"/>
    </row>
    <row r="174" spans="1:8" x14ac:dyDescent="0.2">
      <c r="A174" s="41" t="s">
        <v>156</v>
      </c>
      <c r="B174" s="41" t="s">
        <v>45</v>
      </c>
      <c r="C174" s="41" t="s">
        <v>100</v>
      </c>
      <c r="D174" s="41" t="s">
        <v>101</v>
      </c>
      <c r="E174" s="41" t="s">
        <v>148</v>
      </c>
      <c r="F174" s="41"/>
      <c r="G174" s="41"/>
      <c r="H174" s="41" t="s">
        <v>148</v>
      </c>
    </row>
    <row r="175" spans="1:8" x14ac:dyDescent="0.2">
      <c r="A175" s="41" t="s">
        <v>156</v>
      </c>
      <c r="B175" s="41" t="s">
        <v>45</v>
      </c>
      <c r="C175" s="41" t="s">
        <v>102</v>
      </c>
      <c r="D175" s="41" t="s">
        <v>103</v>
      </c>
      <c r="E175" s="41" t="s">
        <v>148</v>
      </c>
      <c r="F175" s="41"/>
      <c r="G175" s="41"/>
      <c r="H175" s="41" t="s">
        <v>148</v>
      </c>
    </row>
    <row r="176" spans="1:8" x14ac:dyDescent="0.2">
      <c r="A176" s="41" t="s">
        <v>156</v>
      </c>
      <c r="B176" s="41" t="s">
        <v>45</v>
      </c>
      <c r="C176" s="41" t="s">
        <v>306</v>
      </c>
      <c r="D176" s="41"/>
      <c r="E176" s="41"/>
      <c r="F176" s="41"/>
      <c r="G176" s="41" t="s">
        <v>148</v>
      </c>
      <c r="H176" s="41"/>
    </row>
    <row r="177" spans="1:8" x14ac:dyDescent="0.2">
      <c r="A177" s="41" t="s">
        <v>156</v>
      </c>
      <c r="B177" s="41" t="s">
        <v>45</v>
      </c>
      <c r="C177" s="41" t="s">
        <v>307</v>
      </c>
      <c r="D177" s="41"/>
      <c r="E177" s="41"/>
      <c r="F177" s="41"/>
      <c r="G177" s="41" t="s">
        <v>148</v>
      </c>
      <c r="H177" s="41"/>
    </row>
    <row r="178" spans="1:8" x14ac:dyDescent="0.2">
      <c r="A178" s="41" t="s">
        <v>156</v>
      </c>
      <c r="B178" s="41" t="s">
        <v>45</v>
      </c>
      <c r="C178" s="41" t="s">
        <v>307</v>
      </c>
      <c r="D178" s="41" t="s">
        <v>246</v>
      </c>
      <c r="E178" s="41"/>
      <c r="F178" s="41" t="s">
        <v>148</v>
      </c>
      <c r="G178" s="41"/>
      <c r="H178" s="41"/>
    </row>
    <row r="179" spans="1:8" x14ac:dyDescent="0.2">
      <c r="A179" s="41" t="s">
        <v>156</v>
      </c>
      <c r="B179" s="41" t="s">
        <v>45</v>
      </c>
      <c r="C179" s="41" t="s">
        <v>308</v>
      </c>
      <c r="D179" s="41"/>
      <c r="E179" s="41"/>
      <c r="F179" s="41"/>
      <c r="G179" s="41" t="s">
        <v>148</v>
      </c>
      <c r="H179" s="41"/>
    </row>
    <row r="180" spans="1:8" x14ac:dyDescent="0.2">
      <c r="A180" s="41" t="s">
        <v>156</v>
      </c>
      <c r="B180" s="41" t="s">
        <v>45</v>
      </c>
      <c r="C180" s="41" t="s">
        <v>309</v>
      </c>
      <c r="D180" s="41"/>
      <c r="E180" s="41"/>
      <c r="F180" s="41"/>
      <c r="G180" s="41" t="s">
        <v>148</v>
      </c>
      <c r="H180" s="41"/>
    </row>
    <row r="181" spans="1:8" x14ac:dyDescent="0.2">
      <c r="A181" s="41" t="s">
        <v>156</v>
      </c>
      <c r="B181" s="41" t="s">
        <v>45</v>
      </c>
      <c r="C181" s="41" t="s">
        <v>310</v>
      </c>
      <c r="D181" s="41"/>
      <c r="E181" s="41"/>
      <c r="F181" s="41"/>
      <c r="G181" s="41" t="s">
        <v>148</v>
      </c>
      <c r="H181" s="41"/>
    </row>
    <row r="182" spans="1:8" x14ac:dyDescent="0.2">
      <c r="A182" s="41" t="s">
        <v>156</v>
      </c>
      <c r="B182" s="41" t="s">
        <v>45</v>
      </c>
      <c r="C182" s="41" t="s">
        <v>108</v>
      </c>
      <c r="D182" s="41"/>
      <c r="E182" s="41"/>
      <c r="F182" s="41"/>
      <c r="G182" s="41" t="s">
        <v>148</v>
      </c>
      <c r="H182" s="41"/>
    </row>
    <row r="183" spans="1:8" x14ac:dyDescent="0.2">
      <c r="A183" s="41" t="s">
        <v>156</v>
      </c>
      <c r="B183" s="41" t="s">
        <v>45</v>
      </c>
      <c r="C183" s="41" t="s">
        <v>108</v>
      </c>
      <c r="D183" s="41" t="s">
        <v>247</v>
      </c>
      <c r="E183" s="41"/>
      <c r="F183" s="41" t="s">
        <v>148</v>
      </c>
      <c r="G183" s="41"/>
      <c r="H183" s="41"/>
    </row>
    <row r="184" spans="1:8" x14ac:dyDescent="0.2">
      <c r="A184" s="41" t="s">
        <v>156</v>
      </c>
      <c r="B184" s="41" t="s">
        <v>45</v>
      </c>
      <c r="C184" s="41" t="s">
        <v>311</v>
      </c>
      <c r="D184" s="41"/>
      <c r="E184" s="41"/>
      <c r="F184" s="41"/>
      <c r="G184" s="41" t="s">
        <v>148</v>
      </c>
      <c r="H184" s="41"/>
    </row>
    <row r="185" spans="1:8" x14ac:dyDescent="0.2">
      <c r="A185" s="41" t="s">
        <v>156</v>
      </c>
      <c r="B185" s="41" t="s">
        <v>45</v>
      </c>
      <c r="C185" s="41" t="s">
        <v>312</v>
      </c>
      <c r="D185" s="41"/>
      <c r="E185" s="41"/>
      <c r="F185" s="41"/>
      <c r="G185" s="41" t="s">
        <v>148</v>
      </c>
      <c r="H185" s="41"/>
    </row>
    <row r="186" spans="1:8" x14ac:dyDescent="0.2">
      <c r="A186" s="41" t="s">
        <v>14</v>
      </c>
      <c r="B186" s="41" t="s">
        <v>46</v>
      </c>
      <c r="C186" s="41" t="s">
        <v>589</v>
      </c>
      <c r="D186" s="41"/>
      <c r="E186" s="41" t="s">
        <v>148</v>
      </c>
      <c r="F186" s="41" t="s">
        <v>148</v>
      </c>
      <c r="G186" s="41" t="s">
        <v>148</v>
      </c>
      <c r="H186" s="41" t="s">
        <v>148</v>
      </c>
    </row>
    <row r="187" spans="1:8" x14ac:dyDescent="0.2">
      <c r="A187" s="41" t="s">
        <v>14</v>
      </c>
      <c r="B187" s="41" t="s">
        <v>46</v>
      </c>
      <c r="C187" s="41"/>
      <c r="D187" s="41"/>
      <c r="E187" s="41" t="s">
        <v>148</v>
      </c>
      <c r="F187" s="41" t="s">
        <v>148</v>
      </c>
      <c r="G187" s="41" t="s">
        <v>148</v>
      </c>
      <c r="H187" s="41" t="s">
        <v>148</v>
      </c>
    </row>
    <row r="188" spans="1:8" x14ac:dyDescent="0.2">
      <c r="A188" s="41" t="s">
        <v>157</v>
      </c>
      <c r="B188" s="41" t="s">
        <v>22</v>
      </c>
      <c r="C188" s="41" t="s">
        <v>248</v>
      </c>
      <c r="D188" s="41"/>
      <c r="E188" s="41" t="s">
        <v>148</v>
      </c>
      <c r="F188" s="41" t="s">
        <v>148</v>
      </c>
      <c r="G188" s="41"/>
      <c r="H188" s="41" t="s">
        <v>148</v>
      </c>
    </row>
    <row r="189" spans="1:8" x14ac:dyDescent="0.2">
      <c r="A189" s="41" t="s">
        <v>157</v>
      </c>
      <c r="B189" s="41" t="s">
        <v>22</v>
      </c>
      <c r="C189" s="41" t="s">
        <v>113</v>
      </c>
      <c r="D189" s="41"/>
      <c r="E189" s="41" t="s">
        <v>148</v>
      </c>
      <c r="F189" s="41" t="s">
        <v>148</v>
      </c>
      <c r="G189" s="41" t="s">
        <v>148</v>
      </c>
      <c r="H189" s="41" t="s">
        <v>148</v>
      </c>
    </row>
    <row r="190" spans="1:8" x14ac:dyDescent="0.2">
      <c r="A190" s="41" t="s">
        <v>157</v>
      </c>
      <c r="B190" s="41" t="s">
        <v>22</v>
      </c>
      <c r="C190" s="41" t="s">
        <v>114</v>
      </c>
      <c r="D190" s="41"/>
      <c r="E190" s="41" t="s">
        <v>148</v>
      </c>
      <c r="F190" s="41" t="s">
        <v>148</v>
      </c>
      <c r="G190" s="41"/>
      <c r="H190" s="41" t="s">
        <v>148</v>
      </c>
    </row>
    <row r="191" spans="1:8" x14ac:dyDescent="0.2">
      <c r="A191" s="41" t="s">
        <v>157</v>
      </c>
      <c r="B191" s="41" t="s">
        <v>22</v>
      </c>
      <c r="C191" s="41" t="s">
        <v>249</v>
      </c>
      <c r="D191" s="41"/>
      <c r="E191" s="41" t="s">
        <v>148</v>
      </c>
      <c r="F191" s="41" t="s">
        <v>148</v>
      </c>
      <c r="G191" s="41" t="s">
        <v>148</v>
      </c>
      <c r="H191" s="41" t="s">
        <v>148</v>
      </c>
    </row>
    <row r="192" spans="1:8" x14ac:dyDescent="0.2">
      <c r="A192" s="41" t="s">
        <v>157</v>
      </c>
      <c r="B192" s="41" t="s">
        <v>22</v>
      </c>
      <c r="C192" s="41" t="s">
        <v>112</v>
      </c>
      <c r="D192" s="41"/>
      <c r="E192" s="41" t="s">
        <v>148</v>
      </c>
      <c r="F192" s="41"/>
      <c r="G192" s="41"/>
      <c r="H192" s="41" t="s">
        <v>148</v>
      </c>
    </row>
    <row r="193" spans="1:8" x14ac:dyDescent="0.2">
      <c r="A193" s="41" t="s">
        <v>157</v>
      </c>
      <c r="B193" s="41" t="s">
        <v>22</v>
      </c>
      <c r="C193" s="41" t="s">
        <v>115</v>
      </c>
      <c r="D193" s="41"/>
      <c r="E193" s="41" t="s">
        <v>148</v>
      </c>
      <c r="F193" s="41" t="s">
        <v>148</v>
      </c>
      <c r="G193" s="41"/>
      <c r="H193" s="41" t="s">
        <v>148</v>
      </c>
    </row>
    <row r="194" spans="1:8" x14ac:dyDescent="0.2">
      <c r="A194" s="41" t="s">
        <v>157</v>
      </c>
      <c r="B194" s="41" t="s">
        <v>22</v>
      </c>
      <c r="C194" s="41" t="s">
        <v>250</v>
      </c>
      <c r="D194" s="41"/>
      <c r="E194" s="41" t="s">
        <v>148</v>
      </c>
      <c r="F194" s="41" t="s">
        <v>148</v>
      </c>
      <c r="G194" s="41" t="s">
        <v>148</v>
      </c>
      <c r="H194" s="41" t="s">
        <v>148</v>
      </c>
    </row>
    <row r="195" spans="1:8" x14ac:dyDescent="0.2">
      <c r="A195" s="41" t="s">
        <v>157</v>
      </c>
      <c r="B195" s="41" t="s">
        <v>22</v>
      </c>
      <c r="C195" s="41" t="s">
        <v>116</v>
      </c>
      <c r="D195" s="41"/>
      <c r="E195" s="41" t="s">
        <v>148</v>
      </c>
      <c r="F195" s="41" t="s">
        <v>148</v>
      </c>
      <c r="G195" s="41"/>
      <c r="H195" s="41" t="s">
        <v>148</v>
      </c>
    </row>
    <row r="196" spans="1:8" x14ac:dyDescent="0.2">
      <c r="A196" s="41" t="s">
        <v>157</v>
      </c>
      <c r="B196" s="41" t="s">
        <v>22</v>
      </c>
      <c r="C196" s="41" t="s">
        <v>117</v>
      </c>
      <c r="D196" s="41"/>
      <c r="E196" s="41" t="s">
        <v>148</v>
      </c>
      <c r="F196" s="41" t="s">
        <v>148</v>
      </c>
      <c r="G196" s="41" t="s">
        <v>148</v>
      </c>
      <c r="H196" s="41" t="s">
        <v>148</v>
      </c>
    </row>
    <row r="197" spans="1:8" x14ac:dyDescent="0.2">
      <c r="A197" s="41" t="s">
        <v>157</v>
      </c>
      <c r="B197" s="41" t="s">
        <v>22</v>
      </c>
      <c r="C197" s="41" t="s">
        <v>251</v>
      </c>
      <c r="D197" s="41"/>
      <c r="E197" s="41"/>
      <c r="F197" s="41" t="s">
        <v>148</v>
      </c>
      <c r="G197" s="41"/>
      <c r="H197" s="41"/>
    </row>
    <row r="198" spans="1:8" x14ac:dyDescent="0.2">
      <c r="A198" s="41" t="s">
        <v>157</v>
      </c>
      <c r="B198" s="41" t="s">
        <v>22</v>
      </c>
      <c r="C198" s="41" t="s">
        <v>107</v>
      </c>
      <c r="D198" s="41"/>
      <c r="E198" s="41" t="s">
        <v>148</v>
      </c>
      <c r="F198" s="41"/>
      <c r="G198" s="41"/>
      <c r="H198" s="41" t="s">
        <v>148</v>
      </c>
    </row>
    <row r="199" spans="1:8" x14ac:dyDescent="0.2">
      <c r="A199" s="41" t="s">
        <v>157</v>
      </c>
      <c r="B199" s="41" t="s">
        <v>22</v>
      </c>
      <c r="C199" s="41" t="s">
        <v>118</v>
      </c>
      <c r="D199" s="41"/>
      <c r="E199" s="41" t="s">
        <v>148</v>
      </c>
      <c r="F199" s="41" t="s">
        <v>148</v>
      </c>
      <c r="G199" s="41"/>
      <c r="H199" s="41" t="s">
        <v>148</v>
      </c>
    </row>
    <row r="200" spans="1:8" x14ac:dyDescent="0.2">
      <c r="A200" s="41" t="s">
        <v>157</v>
      </c>
      <c r="B200" s="41" t="s">
        <v>22</v>
      </c>
      <c r="C200" s="41" t="s">
        <v>119</v>
      </c>
      <c r="D200" s="41"/>
      <c r="E200" s="41" t="s">
        <v>148</v>
      </c>
      <c r="F200" s="41" t="s">
        <v>148</v>
      </c>
      <c r="G200" s="41" t="s">
        <v>148</v>
      </c>
      <c r="H200" s="41" t="s">
        <v>148</v>
      </c>
    </row>
    <row r="201" spans="1:8" x14ac:dyDescent="0.2">
      <c r="A201" s="41" t="s">
        <v>157</v>
      </c>
      <c r="B201" s="41" t="s">
        <v>22</v>
      </c>
      <c r="C201" s="41" t="s">
        <v>120</v>
      </c>
      <c r="D201" s="41"/>
      <c r="E201" s="41" t="s">
        <v>148</v>
      </c>
      <c r="F201" s="41" t="s">
        <v>148</v>
      </c>
      <c r="G201" s="41" t="s">
        <v>148</v>
      </c>
      <c r="H201" s="41" t="s">
        <v>148</v>
      </c>
    </row>
    <row r="202" spans="1:8" x14ac:dyDescent="0.2">
      <c r="A202" s="41" t="s">
        <v>157</v>
      </c>
      <c r="B202" s="41" t="s">
        <v>22</v>
      </c>
      <c r="C202" s="41" t="s">
        <v>313</v>
      </c>
      <c r="D202" s="41"/>
      <c r="E202" s="41"/>
      <c r="F202" s="41"/>
      <c r="G202" s="41" t="s">
        <v>148</v>
      </c>
      <c r="H202" s="41"/>
    </row>
    <row r="203" spans="1:8" x14ac:dyDescent="0.2">
      <c r="A203" s="41" t="s">
        <v>157</v>
      </c>
      <c r="B203" s="41" t="s">
        <v>22</v>
      </c>
      <c r="C203" s="41" t="s">
        <v>121</v>
      </c>
      <c r="D203" s="41"/>
      <c r="E203" s="41" t="s">
        <v>148</v>
      </c>
      <c r="F203" s="41" t="s">
        <v>148</v>
      </c>
      <c r="G203" s="41" t="s">
        <v>148</v>
      </c>
      <c r="H203" s="41" t="s">
        <v>148</v>
      </c>
    </row>
    <row r="204" spans="1:8" x14ac:dyDescent="0.2">
      <c r="A204" s="41" t="s">
        <v>157</v>
      </c>
      <c r="B204" s="41" t="s">
        <v>22</v>
      </c>
      <c r="C204" s="41" t="s">
        <v>109</v>
      </c>
      <c r="D204" s="41"/>
      <c r="E204" s="41" t="s">
        <v>148</v>
      </c>
      <c r="F204" s="41"/>
      <c r="G204" s="41"/>
      <c r="H204" s="41" t="s">
        <v>148</v>
      </c>
    </row>
    <row r="205" spans="1:8" x14ac:dyDescent="0.2">
      <c r="A205" s="41" t="s">
        <v>157</v>
      </c>
      <c r="B205" s="41" t="s">
        <v>22</v>
      </c>
      <c r="C205" s="41" t="s">
        <v>110</v>
      </c>
      <c r="D205" s="41"/>
      <c r="E205" s="41" t="s">
        <v>148</v>
      </c>
      <c r="F205" s="41"/>
      <c r="G205" s="41"/>
      <c r="H205" s="41" t="s">
        <v>148</v>
      </c>
    </row>
    <row r="206" spans="1:8" x14ac:dyDescent="0.2">
      <c r="A206" s="41" t="s">
        <v>144</v>
      </c>
      <c r="B206" s="41" t="s">
        <v>11</v>
      </c>
      <c r="C206" s="41" t="s">
        <v>448</v>
      </c>
      <c r="D206" s="41"/>
      <c r="E206" s="41" t="s">
        <v>148</v>
      </c>
      <c r="F206" s="41" t="s">
        <v>148</v>
      </c>
      <c r="G206" s="41" t="s">
        <v>148</v>
      </c>
      <c r="H206" s="41" t="s">
        <v>148</v>
      </c>
    </row>
    <row r="207" spans="1:8" x14ac:dyDescent="0.2">
      <c r="A207" s="41" t="s">
        <v>144</v>
      </c>
      <c r="B207" s="41" t="s">
        <v>11</v>
      </c>
      <c r="C207" s="41" t="s">
        <v>147</v>
      </c>
      <c r="D207" s="41"/>
      <c r="E207" s="41" t="s">
        <v>148</v>
      </c>
      <c r="F207" s="41" t="s">
        <v>148</v>
      </c>
      <c r="G207" s="41" t="s">
        <v>148</v>
      </c>
      <c r="H207" s="41" t="s">
        <v>148</v>
      </c>
    </row>
    <row r="208" spans="1:8" x14ac:dyDescent="0.2">
      <c r="A208" s="41" t="s">
        <v>256</v>
      </c>
      <c r="B208" s="41" t="s">
        <v>18</v>
      </c>
      <c r="C208" s="41"/>
      <c r="D208" s="41"/>
      <c r="E208" s="41" t="s">
        <v>148</v>
      </c>
      <c r="F208" s="41" t="s">
        <v>148</v>
      </c>
      <c r="G208" s="41" t="s">
        <v>148</v>
      </c>
      <c r="H208" s="41" t="s">
        <v>148</v>
      </c>
    </row>
    <row r="209" spans="1:8" x14ac:dyDescent="0.2">
      <c r="A209" s="41" t="s">
        <v>49</v>
      </c>
      <c r="B209" s="41" t="s">
        <v>50</v>
      </c>
      <c r="C209" s="41"/>
      <c r="D209" s="41"/>
      <c r="E209" s="41" t="s">
        <v>148</v>
      </c>
      <c r="F209" s="41" t="s">
        <v>148</v>
      </c>
      <c r="G209" s="41" t="s">
        <v>148</v>
      </c>
      <c r="H209" s="41" t="s">
        <v>148</v>
      </c>
    </row>
    <row r="210" spans="1:8" x14ac:dyDescent="0.2">
      <c r="A210" s="41" t="s">
        <v>257</v>
      </c>
      <c r="B210" s="41" t="s">
        <v>19</v>
      </c>
      <c r="C210" s="41"/>
      <c r="D210" s="41"/>
      <c r="E210" s="41" t="s">
        <v>148</v>
      </c>
      <c r="F210" s="41" t="s">
        <v>148</v>
      </c>
      <c r="G210" s="41" t="s">
        <v>148</v>
      </c>
      <c r="H210" s="41" t="s">
        <v>148</v>
      </c>
    </row>
    <row r="211" spans="1:8" x14ac:dyDescent="0.2">
      <c r="A211" s="41" t="s">
        <v>8</v>
      </c>
      <c r="B211" s="41" t="s">
        <v>20</v>
      </c>
      <c r="C211" s="41"/>
      <c r="D211" s="41"/>
      <c r="E211" s="41" t="s">
        <v>148</v>
      </c>
      <c r="F211" s="41" t="s">
        <v>148</v>
      </c>
      <c r="G211" s="41" t="s">
        <v>148</v>
      </c>
      <c r="H211" s="41" t="s">
        <v>148</v>
      </c>
    </row>
    <row r="212" spans="1:8" x14ac:dyDescent="0.2">
      <c r="A212" s="41" t="s">
        <v>258</v>
      </c>
      <c r="B212" s="41" t="s">
        <v>21</v>
      </c>
      <c r="C212" s="41"/>
      <c r="D212" s="41"/>
      <c r="E212" s="41" t="s">
        <v>148</v>
      </c>
      <c r="F212" s="41" t="s">
        <v>148</v>
      </c>
      <c r="G212" s="41" t="s">
        <v>148</v>
      </c>
      <c r="H212" s="41" t="s">
        <v>148</v>
      </c>
    </row>
    <row r="213" spans="1:8" x14ac:dyDescent="0.2">
      <c r="A213" s="41" t="s">
        <v>259</v>
      </c>
      <c r="B213" s="41" t="s">
        <v>53</v>
      </c>
      <c r="C213" s="41" t="s">
        <v>314</v>
      </c>
      <c r="D213" s="41"/>
      <c r="E213" s="41"/>
      <c r="F213" s="41"/>
      <c r="G213" s="41" t="s">
        <v>148</v>
      </c>
      <c r="H213" s="41"/>
    </row>
    <row r="214" spans="1:8" x14ac:dyDescent="0.2">
      <c r="A214" s="41" t="s">
        <v>259</v>
      </c>
      <c r="B214" s="41" t="s">
        <v>53</v>
      </c>
      <c r="C214" s="41" t="s">
        <v>315</v>
      </c>
      <c r="D214" s="41"/>
      <c r="E214" s="41"/>
      <c r="F214" s="41"/>
      <c r="G214" s="41" t="s">
        <v>148</v>
      </c>
      <c r="H214" s="41"/>
    </row>
    <row r="215" spans="1:8" x14ac:dyDescent="0.2">
      <c r="A215" s="41" t="s">
        <v>259</v>
      </c>
      <c r="B215" s="41" t="s">
        <v>53</v>
      </c>
      <c r="C215" s="41" t="s">
        <v>316</v>
      </c>
      <c r="D215" s="41"/>
      <c r="E215" s="41"/>
      <c r="F215" s="41"/>
      <c r="G215" s="41" t="s">
        <v>148</v>
      </c>
      <c r="H215" s="41"/>
    </row>
    <row r="216" spans="1:8" x14ac:dyDescent="0.2">
      <c r="A216" s="41" t="s">
        <v>259</v>
      </c>
      <c r="B216" s="41" t="s">
        <v>53</v>
      </c>
      <c r="C216" s="41" t="s">
        <v>317</v>
      </c>
      <c r="D216" s="41"/>
      <c r="E216" s="41"/>
      <c r="F216" s="41"/>
      <c r="G216" s="41" t="s">
        <v>148</v>
      </c>
      <c r="H216" s="41"/>
    </row>
    <row r="217" spans="1:8" x14ac:dyDescent="0.2">
      <c r="A217" s="41" t="s">
        <v>259</v>
      </c>
      <c r="B217" s="41" t="s">
        <v>53</v>
      </c>
      <c r="C217" s="41" t="s">
        <v>318</v>
      </c>
      <c r="D217" s="41"/>
      <c r="E217" s="41"/>
      <c r="F217" s="41"/>
      <c r="G217" s="41" t="s">
        <v>148</v>
      </c>
      <c r="H217" s="41"/>
    </row>
    <row r="218" spans="1:8" x14ac:dyDescent="0.2">
      <c r="A218" s="41" t="s">
        <v>259</v>
      </c>
      <c r="B218" s="41" t="s">
        <v>53</v>
      </c>
      <c r="C218" s="41" t="s">
        <v>319</v>
      </c>
      <c r="D218" s="41"/>
      <c r="E218" s="41"/>
      <c r="F218" s="41"/>
      <c r="G218" s="41" t="s">
        <v>148</v>
      </c>
      <c r="H218" s="41"/>
    </row>
    <row r="219" spans="1:8" x14ac:dyDescent="0.2">
      <c r="A219" s="41" t="s">
        <v>259</v>
      </c>
      <c r="B219" s="41" t="s">
        <v>53</v>
      </c>
      <c r="C219" s="41" t="s">
        <v>320</v>
      </c>
      <c r="D219" s="41"/>
      <c r="E219" s="41"/>
      <c r="F219" s="41"/>
      <c r="G219" s="41" t="s">
        <v>148</v>
      </c>
      <c r="H219" s="41"/>
    </row>
    <row r="220" spans="1:8" x14ac:dyDescent="0.2">
      <c r="A220" s="41" t="s">
        <v>259</v>
      </c>
      <c r="B220" s="41" t="s">
        <v>53</v>
      </c>
      <c r="C220" s="41" t="s">
        <v>321</v>
      </c>
      <c r="D220" s="41"/>
      <c r="E220" s="41"/>
      <c r="F220" s="41"/>
      <c r="G220" s="41" t="s">
        <v>148</v>
      </c>
      <c r="H220" s="41"/>
    </row>
    <row r="221" spans="1:8" x14ac:dyDescent="0.2">
      <c r="A221" s="41" t="s">
        <v>259</v>
      </c>
      <c r="B221" s="41" t="s">
        <v>53</v>
      </c>
      <c r="C221" s="41" t="s">
        <v>322</v>
      </c>
      <c r="D221" s="41"/>
      <c r="E221" s="41"/>
      <c r="F221" s="41"/>
      <c r="G221" s="41" t="s">
        <v>148</v>
      </c>
      <c r="H221" s="41"/>
    </row>
    <row r="222" spans="1:8" x14ac:dyDescent="0.2">
      <c r="A222" s="41" t="s">
        <v>259</v>
      </c>
      <c r="B222" s="41" t="s">
        <v>53</v>
      </c>
      <c r="C222" s="41" t="s">
        <v>323</v>
      </c>
      <c r="D222" s="41"/>
      <c r="E222" s="41"/>
      <c r="F222" s="41"/>
      <c r="G222" s="41" t="s">
        <v>148</v>
      </c>
      <c r="H222" s="41"/>
    </row>
    <row r="223" spans="1:8" x14ac:dyDescent="0.2">
      <c r="A223" s="41" t="s">
        <v>259</v>
      </c>
      <c r="B223" s="41" t="s">
        <v>53</v>
      </c>
      <c r="C223" s="41" t="s">
        <v>324</v>
      </c>
      <c r="D223" s="41"/>
      <c r="E223" s="41"/>
      <c r="F223" s="41"/>
      <c r="G223" s="41" t="s">
        <v>148</v>
      </c>
      <c r="H223" s="41"/>
    </row>
    <row r="224" spans="1:8" x14ac:dyDescent="0.2">
      <c r="A224" s="41" t="s">
        <v>259</v>
      </c>
      <c r="B224" s="41" t="s">
        <v>53</v>
      </c>
      <c r="C224" s="41" t="s">
        <v>325</v>
      </c>
      <c r="D224" s="41"/>
      <c r="E224" s="41"/>
      <c r="F224" s="41"/>
      <c r="G224" s="41" t="s">
        <v>148</v>
      </c>
      <c r="H224" s="41"/>
    </row>
    <row r="225" spans="1:8" x14ac:dyDescent="0.2">
      <c r="A225" s="41" t="s">
        <v>259</v>
      </c>
      <c r="B225" s="41" t="s">
        <v>53</v>
      </c>
      <c r="C225" s="41" t="s">
        <v>326</v>
      </c>
      <c r="D225" s="41"/>
      <c r="E225" s="41"/>
      <c r="F225" s="41"/>
      <c r="G225" s="41" t="s">
        <v>148</v>
      </c>
      <c r="H225" s="41"/>
    </row>
    <row r="226" spans="1:8" x14ac:dyDescent="0.2">
      <c r="A226" s="41" t="s">
        <v>259</v>
      </c>
      <c r="B226" s="41" t="s">
        <v>53</v>
      </c>
      <c r="C226" s="41" t="s">
        <v>327</v>
      </c>
      <c r="D226" s="41"/>
      <c r="E226" s="41"/>
      <c r="F226" s="41"/>
      <c r="G226" s="41" t="s">
        <v>148</v>
      </c>
      <c r="H226" s="41"/>
    </row>
    <row r="227" spans="1:8" x14ac:dyDescent="0.2">
      <c r="A227" s="41" t="s">
        <v>259</v>
      </c>
      <c r="B227" s="41" t="s">
        <v>53</v>
      </c>
      <c r="C227" s="41" t="s">
        <v>328</v>
      </c>
      <c r="D227" s="41"/>
      <c r="E227" s="41"/>
      <c r="F227" s="41"/>
      <c r="G227" s="41" t="s">
        <v>148</v>
      </c>
      <c r="H227" s="41"/>
    </row>
    <row r="228" spans="1:8" x14ac:dyDescent="0.2">
      <c r="A228" s="41" t="s">
        <v>259</v>
      </c>
      <c r="B228" s="41" t="s">
        <v>53</v>
      </c>
      <c r="C228" s="41" t="s">
        <v>329</v>
      </c>
      <c r="D228" s="41"/>
      <c r="E228" s="41"/>
      <c r="F228" s="41"/>
      <c r="G228" s="41" t="s">
        <v>148</v>
      </c>
      <c r="H228" s="41"/>
    </row>
    <row r="229" spans="1:8" x14ac:dyDescent="0.2">
      <c r="A229" s="41" t="s">
        <v>259</v>
      </c>
      <c r="B229" s="41" t="s">
        <v>53</v>
      </c>
      <c r="C229" s="41" t="s">
        <v>330</v>
      </c>
      <c r="D229" s="41"/>
      <c r="E229" s="41"/>
      <c r="F229" s="41"/>
      <c r="G229" s="41" t="s">
        <v>148</v>
      </c>
      <c r="H229" s="41"/>
    </row>
    <row r="230" spans="1:8" x14ac:dyDescent="0.2">
      <c r="A230" s="41" t="s">
        <v>259</v>
      </c>
      <c r="B230" s="41" t="s">
        <v>53</v>
      </c>
      <c r="C230" s="41" t="s">
        <v>25</v>
      </c>
      <c r="D230" s="41"/>
      <c r="E230" s="41" t="s">
        <v>148</v>
      </c>
      <c r="F230" s="41" t="s">
        <v>148</v>
      </c>
      <c r="G230" s="41" t="s">
        <v>148</v>
      </c>
      <c r="H230" s="41" t="s">
        <v>148</v>
      </c>
    </row>
    <row r="231" spans="1:8" x14ac:dyDescent="0.2">
      <c r="A231" s="41" t="s">
        <v>259</v>
      </c>
      <c r="B231" s="41" t="s">
        <v>53</v>
      </c>
      <c r="C231" s="41" t="s">
        <v>311</v>
      </c>
      <c r="D231" s="41"/>
      <c r="E231" s="41"/>
      <c r="F231" s="41"/>
      <c r="G231" s="41" t="s">
        <v>148</v>
      </c>
      <c r="H231" s="41"/>
    </row>
    <row r="232" spans="1:8" x14ac:dyDescent="0.2">
      <c r="A232" s="41" t="s">
        <v>260</v>
      </c>
      <c r="B232" s="41" t="s">
        <v>261</v>
      </c>
      <c r="C232" s="41"/>
      <c r="D232" s="41"/>
      <c r="E232" s="41" t="s">
        <v>148</v>
      </c>
      <c r="F232" s="41" t="s">
        <v>148</v>
      </c>
      <c r="G232" s="41" t="s">
        <v>148</v>
      </c>
      <c r="H232" s="41" t="s">
        <v>148</v>
      </c>
    </row>
    <row r="233" spans="1:8" x14ac:dyDescent="0.2">
      <c r="A233" s="41" t="s">
        <v>262</v>
      </c>
      <c r="B233" s="41" t="s">
        <v>23</v>
      </c>
      <c r="C233" s="41"/>
      <c r="D233" s="41"/>
      <c r="E233" s="41" t="s">
        <v>148</v>
      </c>
      <c r="F233" s="41" t="s">
        <v>148</v>
      </c>
      <c r="G233" s="41" t="s">
        <v>148</v>
      </c>
      <c r="H233" s="41" t="s">
        <v>148</v>
      </c>
    </row>
    <row r="234" spans="1:8" x14ac:dyDescent="0.2">
      <c r="A234" s="41" t="s">
        <v>263</v>
      </c>
      <c r="B234" s="41" t="s">
        <v>24</v>
      </c>
      <c r="C234" s="41"/>
      <c r="D234" s="41"/>
      <c r="E234" s="41" t="s">
        <v>148</v>
      </c>
      <c r="F234" s="41" t="s">
        <v>148</v>
      </c>
      <c r="G234" s="41" t="s">
        <v>148</v>
      </c>
      <c r="H234" s="41" t="s">
        <v>148</v>
      </c>
    </row>
    <row r="235" spans="1:8" x14ac:dyDescent="0.2">
      <c r="A235" s="41" t="s">
        <v>264</v>
      </c>
      <c r="B235" s="41" t="s">
        <v>56</v>
      </c>
      <c r="C235" s="41"/>
      <c r="D235" s="41"/>
      <c r="E235" s="41" t="s">
        <v>148</v>
      </c>
      <c r="F235" s="41" t="s">
        <v>148</v>
      </c>
      <c r="G235" s="41" t="s">
        <v>148</v>
      </c>
      <c r="H235" s="41" t="s">
        <v>148</v>
      </c>
    </row>
    <row r="236" spans="1:8" x14ac:dyDescent="0.2">
      <c r="A236" s="41" t="s">
        <v>265</v>
      </c>
      <c r="B236" s="41" t="s">
        <v>25</v>
      </c>
      <c r="C236" s="41"/>
      <c r="D236" s="41"/>
      <c r="E236" s="41" t="s">
        <v>148</v>
      </c>
      <c r="F236" s="41" t="s">
        <v>148</v>
      </c>
      <c r="G236" s="41" t="s">
        <v>148</v>
      </c>
      <c r="H236" s="41" t="s">
        <v>148</v>
      </c>
    </row>
    <row r="237" spans="1:8" x14ac:dyDescent="0.2">
      <c r="A237" s="41" t="s">
        <v>266</v>
      </c>
      <c r="B237" s="41" t="s">
        <v>26</v>
      </c>
      <c r="C237" s="41"/>
      <c r="D237" s="41"/>
      <c r="E237" s="41" t="s">
        <v>148</v>
      </c>
      <c r="F237" s="41" t="s">
        <v>148</v>
      </c>
      <c r="G237" s="41" t="s">
        <v>148</v>
      </c>
      <c r="H237" s="41" t="s">
        <v>148</v>
      </c>
    </row>
    <row r="238" spans="1:8" x14ac:dyDescent="0.2">
      <c r="A238" s="41" t="s">
        <v>267</v>
      </c>
      <c r="B238" s="41" t="s">
        <v>549</v>
      </c>
      <c r="C238" s="41"/>
      <c r="D238" s="41"/>
      <c r="E238" s="41" t="s">
        <v>148</v>
      </c>
      <c r="F238" s="41" t="s">
        <v>148</v>
      </c>
      <c r="G238" s="41" t="s">
        <v>148</v>
      </c>
      <c r="H238" s="41" t="s">
        <v>148</v>
      </c>
    </row>
    <row r="239" spans="1:8" x14ac:dyDescent="0.2">
      <c r="A239" s="41" t="s">
        <v>267</v>
      </c>
      <c r="B239" s="41" t="s">
        <v>27</v>
      </c>
      <c r="C239" s="41"/>
      <c r="D239" s="41"/>
      <c r="E239" s="41" t="s">
        <v>148</v>
      </c>
      <c r="F239" s="41" t="s">
        <v>148</v>
      </c>
      <c r="G239" s="41" t="s">
        <v>148</v>
      </c>
      <c r="H239" s="41" t="s">
        <v>148</v>
      </c>
    </row>
  </sheetData>
  <autoFilter ref="A1:H239" xr:uid="{BFD62236-5B34-4BEB-82D4-C36A38688FAB}"/>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9AB20-161F-49B3-A24C-94D582F7117B}">
  <sheetPr codeName="Sheet4"/>
  <dimension ref="A1:K199"/>
  <sheetViews>
    <sheetView workbookViewId="0">
      <pane xSplit="1" ySplit="1" topLeftCell="B2" activePane="bottomRight" state="frozen"/>
      <selection activeCell="C195" sqref="C195"/>
      <selection pane="topRight" activeCell="C195" sqref="C195"/>
      <selection pane="bottomLeft" activeCell="C195" sqref="C195"/>
      <selection pane="bottomRight" activeCell="J23" sqref="J23"/>
    </sheetView>
  </sheetViews>
  <sheetFormatPr defaultColWidth="9.140625" defaultRowHeight="12.75" x14ac:dyDescent="0.2"/>
  <cols>
    <col min="1" max="1" width="13.140625" style="40" bestFit="1" customWidth="1"/>
    <col min="2" max="2" width="16.5703125" style="40" bestFit="1" customWidth="1"/>
    <col min="3" max="3" width="18.85546875" style="40" bestFit="1" customWidth="1"/>
    <col min="4" max="7" width="4.85546875" style="40" customWidth="1"/>
    <col min="8" max="16384" width="9.140625" style="40"/>
  </cols>
  <sheetData>
    <row r="1" spans="1:7" x14ac:dyDescent="0.2">
      <c r="A1" s="42" t="s">
        <v>123</v>
      </c>
      <c r="B1" s="42" t="s">
        <v>127</v>
      </c>
      <c r="C1" s="42" t="s">
        <v>128</v>
      </c>
      <c r="D1" s="39" t="s">
        <v>129</v>
      </c>
      <c r="E1" s="39" t="s">
        <v>130</v>
      </c>
      <c r="F1" s="39" t="s">
        <v>131</v>
      </c>
      <c r="G1" s="39" t="s">
        <v>449</v>
      </c>
    </row>
    <row r="2" spans="1:7" x14ac:dyDescent="0.2">
      <c r="A2" s="40" t="s">
        <v>156</v>
      </c>
      <c r="B2" s="41" t="s">
        <v>145</v>
      </c>
      <c r="C2" s="40" t="s">
        <v>149</v>
      </c>
      <c r="D2" s="40" t="s">
        <v>148</v>
      </c>
      <c r="E2" s="40" t="s">
        <v>148</v>
      </c>
      <c r="F2" s="41" t="s">
        <v>148</v>
      </c>
      <c r="G2" s="40" t="s">
        <v>148</v>
      </c>
    </row>
    <row r="3" spans="1:7" x14ac:dyDescent="0.2">
      <c r="A3" s="40" t="s">
        <v>156</v>
      </c>
      <c r="B3" s="41" t="s">
        <v>397</v>
      </c>
      <c r="C3" s="40" t="s">
        <v>398</v>
      </c>
      <c r="D3" s="40" t="s">
        <v>148</v>
      </c>
      <c r="E3" s="40" t="s">
        <v>148</v>
      </c>
      <c r="F3" s="41" t="s">
        <v>148</v>
      </c>
      <c r="G3" s="40" t="s">
        <v>148</v>
      </c>
    </row>
    <row r="4" spans="1:7" x14ac:dyDescent="0.2">
      <c r="A4" s="40" t="s">
        <v>156</v>
      </c>
      <c r="B4" s="41" t="s">
        <v>399</v>
      </c>
      <c r="C4" s="40" t="s">
        <v>400</v>
      </c>
      <c r="D4" s="40" t="s">
        <v>148</v>
      </c>
      <c r="E4" s="40" t="s">
        <v>148</v>
      </c>
      <c r="F4" s="41" t="s">
        <v>148</v>
      </c>
      <c r="G4" s="40" t="s">
        <v>148</v>
      </c>
    </row>
    <row r="5" spans="1:7" x14ac:dyDescent="0.2">
      <c r="A5" s="40" t="s">
        <v>156</v>
      </c>
      <c r="B5" s="41" t="s">
        <v>150</v>
      </c>
      <c r="C5" s="40" t="s">
        <v>151</v>
      </c>
      <c r="D5" s="40" t="s">
        <v>148</v>
      </c>
      <c r="E5" s="40" t="s">
        <v>148</v>
      </c>
      <c r="F5" s="41" t="s">
        <v>148</v>
      </c>
      <c r="G5" s="40" t="s">
        <v>148</v>
      </c>
    </row>
    <row r="6" spans="1:7" x14ac:dyDescent="0.2">
      <c r="A6" s="40" t="s">
        <v>156</v>
      </c>
      <c r="B6" s="41" t="s">
        <v>401</v>
      </c>
      <c r="C6" s="40" t="s">
        <v>402</v>
      </c>
      <c r="D6" s="40" t="s">
        <v>148</v>
      </c>
      <c r="E6" s="40" t="s">
        <v>148</v>
      </c>
      <c r="F6" s="41" t="s">
        <v>148</v>
      </c>
      <c r="G6" s="40" t="s">
        <v>148</v>
      </c>
    </row>
    <row r="7" spans="1:7" x14ac:dyDescent="0.2">
      <c r="A7" s="40" t="s">
        <v>156</v>
      </c>
      <c r="B7" s="41" t="s">
        <v>403</v>
      </c>
      <c r="C7" s="40" t="s">
        <v>404</v>
      </c>
      <c r="D7" s="40" t="s">
        <v>148</v>
      </c>
      <c r="E7" s="40" t="s">
        <v>148</v>
      </c>
      <c r="F7" s="41" t="s">
        <v>148</v>
      </c>
      <c r="G7" s="40" t="s">
        <v>148</v>
      </c>
    </row>
    <row r="8" spans="1:7" x14ac:dyDescent="0.2">
      <c r="A8" s="40" t="s">
        <v>156</v>
      </c>
      <c r="B8" s="41" t="s">
        <v>152</v>
      </c>
      <c r="C8" s="40" t="s">
        <v>153</v>
      </c>
      <c r="D8" s="40" t="s">
        <v>148</v>
      </c>
      <c r="E8" s="40" t="s">
        <v>148</v>
      </c>
      <c r="F8" s="41" t="s">
        <v>148</v>
      </c>
      <c r="G8" s="40" t="s">
        <v>148</v>
      </c>
    </row>
    <row r="9" spans="1:7" x14ac:dyDescent="0.2">
      <c r="A9" s="40" t="s">
        <v>156</v>
      </c>
      <c r="B9" s="41" t="s">
        <v>405</v>
      </c>
      <c r="C9" s="40" t="s">
        <v>406</v>
      </c>
      <c r="D9" s="40" t="s">
        <v>148</v>
      </c>
      <c r="E9" s="40" t="s">
        <v>148</v>
      </c>
      <c r="F9" s="41" t="s">
        <v>148</v>
      </c>
      <c r="G9" s="40" t="s">
        <v>148</v>
      </c>
    </row>
    <row r="10" spans="1:7" x14ac:dyDescent="0.2">
      <c r="A10" s="40" t="s">
        <v>156</v>
      </c>
      <c r="B10" s="41" t="s">
        <v>154</v>
      </c>
      <c r="C10" s="40" t="s">
        <v>155</v>
      </c>
      <c r="D10" s="41"/>
      <c r="E10" s="40" t="s">
        <v>148</v>
      </c>
      <c r="F10" s="41" t="s">
        <v>148</v>
      </c>
      <c r="G10" s="41"/>
    </row>
    <row r="11" spans="1:7" x14ac:dyDescent="0.2">
      <c r="A11" s="40" t="s">
        <v>14</v>
      </c>
      <c r="B11" s="40" t="s">
        <v>409</v>
      </c>
      <c r="C11" s="40" t="s">
        <v>410</v>
      </c>
      <c r="D11" s="41"/>
      <c r="E11" s="41"/>
      <c r="F11" s="41" t="s">
        <v>148</v>
      </c>
      <c r="G11" s="41"/>
    </row>
    <row r="12" spans="1:7" x14ac:dyDescent="0.2">
      <c r="A12" s="40" t="s">
        <v>14</v>
      </c>
      <c r="B12" s="40" t="s">
        <v>132</v>
      </c>
      <c r="C12" s="40" t="s">
        <v>133</v>
      </c>
      <c r="D12" s="40" t="s">
        <v>148</v>
      </c>
      <c r="E12" s="40" t="s">
        <v>148</v>
      </c>
      <c r="F12" s="41" t="s">
        <v>148</v>
      </c>
      <c r="G12" s="40" t="s">
        <v>148</v>
      </c>
    </row>
    <row r="13" spans="1:7" x14ac:dyDescent="0.2">
      <c r="A13" s="40" t="s">
        <v>14</v>
      </c>
      <c r="B13" s="40" t="s">
        <v>134</v>
      </c>
      <c r="C13" s="41" t="s">
        <v>135</v>
      </c>
      <c r="D13" s="40" t="s">
        <v>148</v>
      </c>
      <c r="E13" s="40" t="s">
        <v>148</v>
      </c>
      <c r="F13" s="41" t="s">
        <v>148</v>
      </c>
      <c r="G13" s="40" t="s">
        <v>148</v>
      </c>
    </row>
    <row r="14" spans="1:7" x14ac:dyDescent="0.2">
      <c r="A14" s="40" t="s">
        <v>14</v>
      </c>
      <c r="B14" s="40" t="s">
        <v>136</v>
      </c>
      <c r="C14" s="40" t="s">
        <v>137</v>
      </c>
      <c r="D14" s="40" t="s">
        <v>148</v>
      </c>
      <c r="E14" s="40" t="s">
        <v>148</v>
      </c>
      <c r="F14" s="41" t="s">
        <v>148</v>
      </c>
      <c r="G14" s="40" t="s">
        <v>148</v>
      </c>
    </row>
    <row r="15" spans="1:7" x14ac:dyDescent="0.2">
      <c r="A15" s="40" t="s">
        <v>14</v>
      </c>
      <c r="B15" s="40" t="s">
        <v>138</v>
      </c>
      <c r="C15" s="41" t="s">
        <v>139</v>
      </c>
      <c r="D15" s="40" t="s">
        <v>148</v>
      </c>
      <c r="E15" s="40" t="s">
        <v>148</v>
      </c>
      <c r="F15" s="41" t="s">
        <v>148</v>
      </c>
      <c r="G15" s="40" t="s">
        <v>148</v>
      </c>
    </row>
    <row r="16" spans="1:7" x14ac:dyDescent="0.2">
      <c r="A16" s="40" t="s">
        <v>14</v>
      </c>
      <c r="B16" s="40" t="s">
        <v>407</v>
      </c>
      <c r="C16" s="40" t="s">
        <v>408</v>
      </c>
      <c r="D16" s="41"/>
      <c r="E16" s="41"/>
      <c r="F16" s="41" t="s">
        <v>148</v>
      </c>
      <c r="G16" s="41"/>
    </row>
    <row r="17" spans="1:11" x14ac:dyDescent="0.2">
      <c r="A17" s="40" t="s">
        <v>14</v>
      </c>
      <c r="B17" s="40" t="s">
        <v>140</v>
      </c>
      <c r="C17" s="41" t="s">
        <v>141</v>
      </c>
      <c r="D17" s="40" t="s">
        <v>148</v>
      </c>
      <c r="E17" s="40" t="s">
        <v>148</v>
      </c>
      <c r="F17" s="41" t="s">
        <v>148</v>
      </c>
      <c r="G17" s="40" t="s">
        <v>148</v>
      </c>
    </row>
    <row r="18" spans="1:11" x14ac:dyDescent="0.2">
      <c r="A18" s="40" t="s">
        <v>14</v>
      </c>
      <c r="B18" s="40" t="s">
        <v>142</v>
      </c>
      <c r="C18" s="41" t="s">
        <v>143</v>
      </c>
      <c r="D18" s="40" t="s">
        <v>148</v>
      </c>
      <c r="E18" s="40" t="s">
        <v>148</v>
      </c>
      <c r="F18" s="41" t="s">
        <v>148</v>
      </c>
      <c r="G18" s="40" t="s">
        <v>148</v>
      </c>
    </row>
    <row r="19" spans="1:11" x14ac:dyDescent="0.2">
      <c r="A19" s="40" t="s">
        <v>144</v>
      </c>
      <c r="B19" s="40" t="s">
        <v>145</v>
      </c>
      <c r="C19" s="41" t="s">
        <v>448</v>
      </c>
      <c r="D19" s="41" t="s">
        <v>148</v>
      </c>
      <c r="E19" s="41" t="s">
        <v>148</v>
      </c>
      <c r="F19" s="41" t="s">
        <v>148</v>
      </c>
      <c r="G19" s="41" t="s">
        <v>148</v>
      </c>
    </row>
    <row r="20" spans="1:11" x14ac:dyDescent="0.2">
      <c r="A20" s="40" t="s">
        <v>144</v>
      </c>
      <c r="B20" s="40" t="s">
        <v>146</v>
      </c>
      <c r="C20" s="40" t="s">
        <v>147</v>
      </c>
      <c r="D20" s="40" t="s">
        <v>148</v>
      </c>
      <c r="E20" s="40" t="s">
        <v>148</v>
      </c>
      <c r="F20" s="41" t="s">
        <v>148</v>
      </c>
      <c r="G20" s="40" t="s">
        <v>148</v>
      </c>
    </row>
    <row r="21" spans="1:11" x14ac:dyDescent="0.2">
      <c r="A21" s="40" t="s">
        <v>259</v>
      </c>
      <c r="B21" s="40" t="s">
        <v>411</v>
      </c>
      <c r="C21" s="40" t="s">
        <v>32</v>
      </c>
      <c r="D21" s="40" t="s">
        <v>148</v>
      </c>
      <c r="E21" s="40" t="s">
        <v>148</v>
      </c>
      <c r="F21" s="41" t="s">
        <v>148</v>
      </c>
      <c r="G21" s="40" t="s">
        <v>148</v>
      </c>
    </row>
    <row r="22" spans="1:11" x14ac:dyDescent="0.2">
      <c r="A22" s="40" t="s">
        <v>259</v>
      </c>
      <c r="B22" s="40" t="s">
        <v>412</v>
      </c>
      <c r="C22" s="40" t="s">
        <v>35</v>
      </c>
      <c r="D22" s="40" t="s">
        <v>148</v>
      </c>
      <c r="E22" s="40" t="s">
        <v>148</v>
      </c>
      <c r="F22" s="41" t="s">
        <v>148</v>
      </c>
      <c r="G22" s="40" t="s">
        <v>148</v>
      </c>
    </row>
    <row r="23" spans="1:11" x14ac:dyDescent="0.2">
      <c r="A23" s="40" t="s">
        <v>259</v>
      </c>
      <c r="B23" s="41" t="s">
        <v>413</v>
      </c>
      <c r="C23" s="40" t="s">
        <v>414</v>
      </c>
      <c r="D23" s="41"/>
      <c r="E23" s="41"/>
      <c r="F23" s="41" t="s">
        <v>148</v>
      </c>
      <c r="G23" s="41"/>
    </row>
    <row r="24" spans="1:11" x14ac:dyDescent="0.2">
      <c r="A24" s="40" t="s">
        <v>259</v>
      </c>
      <c r="B24" s="40" t="s">
        <v>415</v>
      </c>
      <c r="C24" s="40" t="s">
        <v>37</v>
      </c>
      <c r="D24" s="40" t="s">
        <v>148</v>
      </c>
      <c r="E24" s="40" t="s">
        <v>148</v>
      </c>
      <c r="F24" s="41" t="s">
        <v>148</v>
      </c>
      <c r="G24" s="40" t="s">
        <v>148</v>
      </c>
    </row>
    <row r="25" spans="1:11" x14ac:dyDescent="0.2">
      <c r="A25" s="40" t="s">
        <v>259</v>
      </c>
      <c r="B25" s="40" t="s">
        <v>416</v>
      </c>
      <c r="C25" s="40" t="s">
        <v>38</v>
      </c>
      <c r="D25" s="40" t="s">
        <v>148</v>
      </c>
      <c r="E25" s="40" t="s">
        <v>148</v>
      </c>
      <c r="F25" s="41" t="s">
        <v>148</v>
      </c>
      <c r="G25" s="40" t="s">
        <v>148</v>
      </c>
    </row>
    <row r="26" spans="1:11" x14ac:dyDescent="0.2">
      <c r="A26" s="40" t="s">
        <v>259</v>
      </c>
      <c r="B26" s="40" t="s">
        <v>417</v>
      </c>
      <c r="C26" s="40" t="s">
        <v>41</v>
      </c>
      <c r="D26" s="40" t="s">
        <v>148</v>
      </c>
      <c r="E26" s="40" t="s">
        <v>148</v>
      </c>
      <c r="F26" s="41" t="s">
        <v>148</v>
      </c>
      <c r="G26" s="40" t="s">
        <v>148</v>
      </c>
    </row>
    <row r="27" spans="1:11" x14ac:dyDescent="0.2">
      <c r="A27" s="40" t="s">
        <v>259</v>
      </c>
      <c r="B27" s="40" t="s">
        <v>418</v>
      </c>
      <c r="C27" s="40" t="s">
        <v>419</v>
      </c>
      <c r="D27" s="40" t="s">
        <v>148</v>
      </c>
      <c r="E27" s="40" t="s">
        <v>148</v>
      </c>
      <c r="F27" s="41" t="s">
        <v>148</v>
      </c>
      <c r="G27" s="40" t="s">
        <v>148</v>
      </c>
    </row>
    <row r="28" spans="1:11" x14ac:dyDescent="0.2">
      <c r="A28" s="40" t="s">
        <v>263</v>
      </c>
      <c r="B28" s="40" t="s">
        <v>268</v>
      </c>
      <c r="C28" s="40" t="s">
        <v>269</v>
      </c>
      <c r="D28" s="40" t="s">
        <v>148</v>
      </c>
      <c r="E28" s="40" t="s">
        <v>148</v>
      </c>
      <c r="F28" s="41" t="s">
        <v>148</v>
      </c>
      <c r="G28" s="40" t="s">
        <v>148</v>
      </c>
      <c r="K28" s="41"/>
    </row>
    <row r="29" spans="1:11" x14ac:dyDescent="0.2">
      <c r="A29" s="40" t="s">
        <v>263</v>
      </c>
      <c r="B29" s="40" t="s">
        <v>270</v>
      </c>
      <c r="C29" s="40" t="s">
        <v>271</v>
      </c>
      <c r="D29" s="40" t="s">
        <v>148</v>
      </c>
      <c r="E29" s="40" t="s">
        <v>148</v>
      </c>
      <c r="F29" s="41" t="s">
        <v>148</v>
      </c>
      <c r="G29" s="40" t="s">
        <v>148</v>
      </c>
    </row>
    <row r="30" spans="1:11" x14ac:dyDescent="0.2">
      <c r="A30" s="40" t="s">
        <v>263</v>
      </c>
      <c r="B30" s="44" t="s">
        <v>648</v>
      </c>
      <c r="C30" s="43" t="s">
        <v>559</v>
      </c>
      <c r="D30" s="44" t="s">
        <v>148</v>
      </c>
      <c r="E30" s="44" t="s">
        <v>148</v>
      </c>
      <c r="F30" s="43" t="s">
        <v>148</v>
      </c>
      <c r="G30" s="43" t="s">
        <v>148</v>
      </c>
      <c r="K30" s="41"/>
    </row>
    <row r="31" spans="1:11" x14ac:dyDescent="0.2">
      <c r="A31" s="40" t="s">
        <v>263</v>
      </c>
      <c r="B31" s="40" t="s">
        <v>150</v>
      </c>
      <c r="C31" s="40" t="s">
        <v>496</v>
      </c>
      <c r="D31" s="40" t="s">
        <v>148</v>
      </c>
      <c r="E31" s="40" t="s">
        <v>148</v>
      </c>
      <c r="F31" s="41" t="s">
        <v>148</v>
      </c>
      <c r="G31" s="41" t="s">
        <v>148</v>
      </c>
      <c r="K31" s="41"/>
    </row>
    <row r="32" spans="1:11" x14ac:dyDescent="0.2">
      <c r="A32" s="40" t="s">
        <v>263</v>
      </c>
      <c r="B32" s="44" t="s">
        <v>649</v>
      </c>
      <c r="C32" s="43" t="s">
        <v>556</v>
      </c>
      <c r="D32" s="44" t="s">
        <v>148</v>
      </c>
      <c r="E32" s="44" t="s">
        <v>148</v>
      </c>
      <c r="F32" s="43" t="s">
        <v>148</v>
      </c>
      <c r="G32" s="43" t="s">
        <v>148</v>
      </c>
      <c r="K32" s="41"/>
    </row>
    <row r="33" spans="1:11" x14ac:dyDescent="0.2">
      <c r="A33" s="40" t="s">
        <v>263</v>
      </c>
      <c r="B33" s="44" t="s">
        <v>651</v>
      </c>
      <c r="C33" s="43" t="s">
        <v>557</v>
      </c>
      <c r="D33" s="44" t="s">
        <v>148</v>
      </c>
      <c r="E33" s="44" t="s">
        <v>148</v>
      </c>
      <c r="F33" s="43" t="s">
        <v>148</v>
      </c>
      <c r="G33" s="43" t="s">
        <v>148</v>
      </c>
      <c r="K33" s="41"/>
    </row>
    <row r="34" spans="1:11" x14ac:dyDescent="0.2">
      <c r="A34" s="40" t="s">
        <v>263</v>
      </c>
      <c r="B34" s="40" t="s">
        <v>272</v>
      </c>
      <c r="C34" s="40" t="s">
        <v>273</v>
      </c>
      <c r="D34" s="40" t="s">
        <v>148</v>
      </c>
      <c r="E34" s="40" t="s">
        <v>148</v>
      </c>
      <c r="F34" s="41" t="s">
        <v>148</v>
      </c>
      <c r="G34" s="40" t="s">
        <v>148</v>
      </c>
    </row>
    <row r="35" spans="1:11" x14ac:dyDescent="0.2">
      <c r="A35" s="40" t="s">
        <v>263</v>
      </c>
      <c r="B35" s="44" t="s">
        <v>650</v>
      </c>
      <c r="C35" s="43" t="s">
        <v>558</v>
      </c>
      <c r="D35" s="44" t="s">
        <v>148</v>
      </c>
      <c r="E35" s="44" t="s">
        <v>148</v>
      </c>
      <c r="F35" s="43" t="s">
        <v>148</v>
      </c>
      <c r="G35" s="43" t="s">
        <v>148</v>
      </c>
    </row>
    <row r="36" spans="1:11" x14ac:dyDescent="0.2">
      <c r="A36" s="40" t="s">
        <v>263</v>
      </c>
      <c r="B36" s="40" t="s">
        <v>274</v>
      </c>
      <c r="C36" s="40" t="s">
        <v>275</v>
      </c>
      <c r="D36" s="40" t="s">
        <v>148</v>
      </c>
      <c r="E36" s="40" t="s">
        <v>148</v>
      </c>
      <c r="F36" s="41" t="s">
        <v>148</v>
      </c>
      <c r="G36" s="40" t="s">
        <v>148</v>
      </c>
    </row>
    <row r="37" spans="1:11" x14ac:dyDescent="0.2">
      <c r="D37" s="41"/>
      <c r="E37" s="41"/>
      <c r="F37" s="41"/>
      <c r="G37" s="41"/>
    </row>
    <row r="38" spans="1:11" x14ac:dyDescent="0.2">
      <c r="D38" s="41"/>
      <c r="E38" s="41"/>
      <c r="F38" s="41"/>
      <c r="G38" s="41"/>
      <c r="K38" s="41"/>
    </row>
    <row r="39" spans="1:11" x14ac:dyDescent="0.2">
      <c r="D39" s="41"/>
      <c r="E39" s="41"/>
      <c r="F39" s="41"/>
      <c r="G39" s="41"/>
    </row>
    <row r="40" spans="1:11" x14ac:dyDescent="0.2">
      <c r="D40" s="41"/>
      <c r="E40" s="41"/>
      <c r="F40" s="41"/>
      <c r="G40" s="41"/>
    </row>
    <row r="41" spans="1:11" x14ac:dyDescent="0.2">
      <c r="D41" s="41"/>
      <c r="E41" s="41"/>
      <c r="F41" s="41"/>
      <c r="G41" s="41"/>
    </row>
    <row r="42" spans="1:11" x14ac:dyDescent="0.2">
      <c r="D42" s="41"/>
      <c r="E42" s="41"/>
      <c r="F42" s="41"/>
      <c r="G42" s="41"/>
    </row>
    <row r="43" spans="1:11" x14ac:dyDescent="0.2">
      <c r="D43" s="41"/>
      <c r="E43" s="41"/>
      <c r="F43" s="41"/>
      <c r="G43" s="41"/>
    </row>
    <row r="44" spans="1:11" x14ac:dyDescent="0.2">
      <c r="D44" s="41"/>
      <c r="E44" s="41"/>
      <c r="F44" s="41"/>
      <c r="G44" s="41"/>
    </row>
    <row r="45" spans="1:11" x14ac:dyDescent="0.2">
      <c r="D45" s="41"/>
      <c r="E45" s="41"/>
      <c r="F45" s="41"/>
      <c r="G45" s="41"/>
    </row>
    <row r="46" spans="1:11" x14ac:dyDescent="0.2">
      <c r="D46" s="41"/>
      <c r="E46" s="41"/>
      <c r="F46" s="41"/>
      <c r="G46" s="41"/>
    </row>
    <row r="47" spans="1:11" x14ac:dyDescent="0.2">
      <c r="D47" s="41"/>
      <c r="E47" s="41"/>
      <c r="F47" s="41"/>
      <c r="G47" s="41"/>
    </row>
    <row r="48" spans="1:11" x14ac:dyDescent="0.2">
      <c r="D48" s="41"/>
      <c r="E48" s="41"/>
      <c r="F48" s="41"/>
      <c r="G48" s="41"/>
    </row>
    <row r="49" spans="4:7" x14ac:dyDescent="0.2">
      <c r="D49" s="41"/>
      <c r="E49" s="41"/>
      <c r="F49" s="41"/>
      <c r="G49" s="41"/>
    </row>
    <row r="50" spans="4:7" x14ac:dyDescent="0.2">
      <c r="D50" s="41"/>
      <c r="E50" s="41"/>
      <c r="F50" s="41"/>
      <c r="G50" s="41"/>
    </row>
    <row r="51" spans="4:7" x14ac:dyDescent="0.2">
      <c r="D51" s="41"/>
      <c r="E51" s="41"/>
      <c r="F51" s="41"/>
      <c r="G51" s="41"/>
    </row>
    <row r="52" spans="4:7" x14ac:dyDescent="0.2">
      <c r="D52" s="41"/>
      <c r="E52" s="41"/>
      <c r="F52" s="41"/>
      <c r="G52" s="41"/>
    </row>
    <row r="53" spans="4:7" x14ac:dyDescent="0.2">
      <c r="D53" s="41"/>
      <c r="E53" s="41"/>
      <c r="F53" s="41"/>
      <c r="G53" s="41"/>
    </row>
    <row r="54" spans="4:7" x14ac:dyDescent="0.2">
      <c r="D54" s="41"/>
      <c r="E54" s="41"/>
      <c r="F54" s="41"/>
      <c r="G54" s="41"/>
    </row>
    <row r="55" spans="4:7" x14ac:dyDescent="0.2">
      <c r="D55" s="41"/>
      <c r="E55" s="41"/>
      <c r="F55" s="41"/>
      <c r="G55" s="41"/>
    </row>
    <row r="56" spans="4:7" x14ac:dyDescent="0.2">
      <c r="D56" s="41"/>
      <c r="E56" s="41"/>
      <c r="F56" s="41"/>
      <c r="G56" s="41"/>
    </row>
    <row r="57" spans="4:7" x14ac:dyDescent="0.2">
      <c r="D57" s="41"/>
      <c r="E57" s="41"/>
      <c r="F57" s="41"/>
      <c r="G57" s="41"/>
    </row>
    <row r="58" spans="4:7" x14ac:dyDescent="0.2">
      <c r="D58" s="41"/>
      <c r="E58" s="41"/>
      <c r="F58" s="41"/>
      <c r="G58" s="41"/>
    </row>
    <row r="59" spans="4:7" x14ac:dyDescent="0.2">
      <c r="D59" s="41"/>
      <c r="E59" s="41"/>
      <c r="F59" s="41"/>
      <c r="G59" s="41"/>
    </row>
    <row r="60" spans="4:7" x14ac:dyDescent="0.2">
      <c r="D60" s="41"/>
      <c r="E60" s="41"/>
      <c r="F60" s="41"/>
      <c r="G60" s="41"/>
    </row>
    <row r="61" spans="4:7" x14ac:dyDescent="0.2">
      <c r="D61" s="41"/>
      <c r="E61" s="41"/>
      <c r="F61" s="41"/>
      <c r="G61" s="41"/>
    </row>
    <row r="62" spans="4:7" x14ac:dyDescent="0.2">
      <c r="D62" s="41"/>
      <c r="E62" s="41"/>
      <c r="F62" s="41"/>
      <c r="G62" s="41"/>
    </row>
    <row r="63" spans="4:7" x14ac:dyDescent="0.2">
      <c r="D63" s="41"/>
      <c r="E63" s="41"/>
      <c r="F63" s="41"/>
      <c r="G63" s="41"/>
    </row>
    <row r="64" spans="4:7" x14ac:dyDescent="0.2">
      <c r="D64" s="41"/>
      <c r="E64" s="41"/>
      <c r="F64" s="41"/>
      <c r="G64" s="41"/>
    </row>
    <row r="65" spans="4:7" x14ac:dyDescent="0.2">
      <c r="D65" s="41"/>
      <c r="E65" s="41"/>
      <c r="F65" s="41"/>
      <c r="G65" s="41"/>
    </row>
    <row r="66" spans="4:7" x14ac:dyDescent="0.2">
      <c r="D66" s="41"/>
      <c r="E66" s="41"/>
      <c r="F66" s="41"/>
      <c r="G66" s="41"/>
    </row>
    <row r="67" spans="4:7" x14ac:dyDescent="0.2">
      <c r="D67" s="41"/>
      <c r="E67" s="41"/>
      <c r="F67" s="41"/>
      <c r="G67" s="41"/>
    </row>
    <row r="68" spans="4:7" x14ac:dyDescent="0.2">
      <c r="D68" s="41"/>
      <c r="E68" s="41"/>
      <c r="F68" s="41"/>
      <c r="G68" s="41"/>
    </row>
    <row r="69" spans="4:7" x14ac:dyDescent="0.2">
      <c r="D69" s="41"/>
      <c r="E69" s="41"/>
      <c r="F69" s="41"/>
      <c r="G69" s="41"/>
    </row>
    <row r="70" spans="4:7" x14ac:dyDescent="0.2">
      <c r="D70" s="41"/>
      <c r="E70" s="41"/>
      <c r="F70" s="41"/>
      <c r="G70" s="41"/>
    </row>
    <row r="71" spans="4:7" x14ac:dyDescent="0.2">
      <c r="D71" s="41"/>
      <c r="E71" s="41"/>
      <c r="F71" s="41"/>
      <c r="G71" s="41"/>
    </row>
    <row r="72" spans="4:7" x14ac:dyDescent="0.2">
      <c r="D72" s="41"/>
      <c r="E72" s="41"/>
      <c r="F72" s="41"/>
      <c r="G72" s="41"/>
    </row>
    <row r="73" spans="4:7" x14ac:dyDescent="0.2">
      <c r="D73" s="41"/>
      <c r="E73" s="41"/>
      <c r="F73" s="41"/>
      <c r="G73" s="41"/>
    </row>
    <row r="74" spans="4:7" x14ac:dyDescent="0.2">
      <c r="D74" s="41"/>
      <c r="E74" s="41"/>
      <c r="F74" s="41"/>
      <c r="G74" s="41"/>
    </row>
    <row r="75" spans="4:7" x14ac:dyDescent="0.2">
      <c r="D75" s="41"/>
      <c r="E75" s="41"/>
      <c r="F75" s="41"/>
      <c r="G75" s="41"/>
    </row>
    <row r="76" spans="4:7" x14ac:dyDescent="0.2">
      <c r="D76" s="41"/>
      <c r="E76" s="41"/>
      <c r="F76" s="41"/>
      <c r="G76" s="41"/>
    </row>
    <row r="77" spans="4:7" x14ac:dyDescent="0.2">
      <c r="D77" s="41"/>
      <c r="E77" s="41"/>
      <c r="F77" s="41"/>
      <c r="G77" s="41"/>
    </row>
    <row r="78" spans="4:7" x14ac:dyDescent="0.2">
      <c r="D78" s="41"/>
      <c r="E78" s="41"/>
      <c r="F78" s="41"/>
      <c r="G78" s="41"/>
    </row>
    <row r="79" spans="4:7" x14ac:dyDescent="0.2">
      <c r="D79" s="41"/>
      <c r="E79" s="41"/>
      <c r="F79" s="41"/>
      <c r="G79" s="41"/>
    </row>
    <row r="80" spans="4:7" x14ac:dyDescent="0.2">
      <c r="D80" s="41"/>
      <c r="E80" s="41"/>
      <c r="F80" s="41"/>
      <c r="G80" s="41"/>
    </row>
    <row r="81" spans="4:7" x14ac:dyDescent="0.2">
      <c r="D81" s="41"/>
      <c r="E81" s="41"/>
      <c r="F81" s="41"/>
      <c r="G81" s="41"/>
    </row>
    <row r="82" spans="4:7" x14ac:dyDescent="0.2">
      <c r="D82" s="41"/>
      <c r="E82" s="41"/>
      <c r="F82" s="41"/>
      <c r="G82" s="41"/>
    </row>
    <row r="83" spans="4:7" x14ac:dyDescent="0.2">
      <c r="D83" s="41"/>
      <c r="E83" s="41"/>
      <c r="F83" s="41"/>
      <c r="G83" s="41"/>
    </row>
    <row r="84" spans="4:7" x14ac:dyDescent="0.2">
      <c r="D84" s="41"/>
      <c r="E84" s="41"/>
      <c r="F84" s="41"/>
      <c r="G84" s="41"/>
    </row>
    <row r="85" spans="4:7" x14ac:dyDescent="0.2">
      <c r="D85" s="41"/>
      <c r="E85" s="41"/>
      <c r="F85" s="41"/>
      <c r="G85" s="41"/>
    </row>
    <row r="86" spans="4:7" x14ac:dyDescent="0.2">
      <c r="D86" s="41"/>
      <c r="E86" s="41"/>
      <c r="F86" s="41"/>
      <c r="G86" s="41"/>
    </row>
    <row r="87" spans="4:7" x14ac:dyDescent="0.2">
      <c r="D87" s="41"/>
      <c r="E87" s="41"/>
      <c r="F87" s="41"/>
      <c r="G87" s="41"/>
    </row>
    <row r="88" spans="4:7" x14ac:dyDescent="0.2">
      <c r="D88" s="41"/>
      <c r="E88" s="41"/>
      <c r="F88" s="41"/>
      <c r="G88" s="41"/>
    </row>
    <row r="89" spans="4:7" x14ac:dyDescent="0.2">
      <c r="D89" s="41"/>
      <c r="E89" s="41"/>
      <c r="F89" s="41"/>
      <c r="G89" s="41"/>
    </row>
    <row r="90" spans="4:7" x14ac:dyDescent="0.2">
      <c r="D90" s="41"/>
      <c r="E90" s="41"/>
      <c r="F90" s="41"/>
      <c r="G90" s="41"/>
    </row>
    <row r="91" spans="4:7" x14ac:dyDescent="0.2">
      <c r="D91" s="41"/>
      <c r="E91" s="41"/>
      <c r="F91" s="41"/>
      <c r="G91" s="41"/>
    </row>
    <row r="92" spans="4:7" x14ac:dyDescent="0.2">
      <c r="D92" s="41"/>
      <c r="E92" s="41"/>
      <c r="F92" s="41"/>
      <c r="G92" s="41"/>
    </row>
    <row r="93" spans="4:7" x14ac:dyDescent="0.2">
      <c r="D93" s="41"/>
      <c r="E93" s="41"/>
      <c r="F93" s="41"/>
      <c r="G93" s="41"/>
    </row>
    <row r="94" spans="4:7" x14ac:dyDescent="0.2">
      <c r="D94" s="41"/>
      <c r="E94" s="41"/>
      <c r="F94" s="41"/>
      <c r="G94" s="41"/>
    </row>
    <row r="95" spans="4:7" x14ac:dyDescent="0.2">
      <c r="D95" s="41"/>
      <c r="E95" s="41"/>
      <c r="F95" s="41"/>
      <c r="G95" s="41"/>
    </row>
    <row r="96" spans="4:7" x14ac:dyDescent="0.2">
      <c r="D96" s="41"/>
      <c r="E96" s="41"/>
      <c r="F96" s="41"/>
      <c r="G96" s="41"/>
    </row>
    <row r="97" spans="4:7" x14ac:dyDescent="0.2">
      <c r="D97" s="41"/>
      <c r="E97" s="41"/>
      <c r="F97" s="41"/>
      <c r="G97" s="41"/>
    </row>
    <row r="98" spans="4:7" x14ac:dyDescent="0.2">
      <c r="D98" s="41"/>
      <c r="E98" s="41"/>
      <c r="F98" s="41"/>
      <c r="G98" s="41"/>
    </row>
    <row r="99" spans="4:7" x14ac:dyDescent="0.2">
      <c r="D99" s="41"/>
      <c r="E99" s="41"/>
      <c r="F99" s="41"/>
      <c r="G99" s="41"/>
    </row>
    <row r="100" spans="4:7" x14ac:dyDescent="0.2">
      <c r="D100" s="41"/>
      <c r="E100" s="41"/>
      <c r="F100" s="41"/>
      <c r="G100" s="41"/>
    </row>
    <row r="101" spans="4:7" x14ac:dyDescent="0.2">
      <c r="D101" s="41"/>
      <c r="E101" s="41"/>
      <c r="F101" s="41"/>
      <c r="G101" s="41"/>
    </row>
    <row r="102" spans="4:7" x14ac:dyDescent="0.2">
      <c r="D102" s="41"/>
      <c r="E102" s="41"/>
      <c r="F102" s="41"/>
      <c r="G102" s="41"/>
    </row>
    <row r="103" spans="4:7" x14ac:dyDescent="0.2">
      <c r="D103" s="41"/>
      <c r="E103" s="41"/>
      <c r="F103" s="41"/>
      <c r="G103" s="41"/>
    </row>
    <row r="104" spans="4:7" x14ac:dyDescent="0.2">
      <c r="D104" s="41"/>
      <c r="E104" s="41"/>
      <c r="F104" s="41"/>
      <c r="G104" s="41"/>
    </row>
    <row r="105" spans="4:7" x14ac:dyDescent="0.2">
      <c r="D105" s="41"/>
      <c r="E105" s="41"/>
      <c r="F105" s="41"/>
      <c r="G105" s="41"/>
    </row>
    <row r="106" spans="4:7" x14ac:dyDescent="0.2">
      <c r="D106" s="41"/>
      <c r="E106" s="41"/>
      <c r="F106" s="41"/>
      <c r="G106" s="41"/>
    </row>
    <row r="107" spans="4:7" x14ac:dyDescent="0.2">
      <c r="D107" s="41"/>
      <c r="E107" s="41"/>
      <c r="F107" s="41"/>
      <c r="G107" s="41"/>
    </row>
    <row r="108" spans="4:7" x14ac:dyDescent="0.2">
      <c r="D108" s="41"/>
      <c r="E108" s="41"/>
      <c r="F108" s="41"/>
      <c r="G108" s="41"/>
    </row>
    <row r="109" spans="4:7" x14ac:dyDescent="0.2">
      <c r="D109" s="41"/>
      <c r="E109" s="41"/>
      <c r="F109" s="41"/>
      <c r="G109" s="41"/>
    </row>
    <row r="110" spans="4:7" x14ac:dyDescent="0.2">
      <c r="D110" s="41"/>
      <c r="E110" s="41"/>
      <c r="F110" s="41"/>
      <c r="G110" s="41"/>
    </row>
    <row r="111" spans="4:7" x14ac:dyDescent="0.2">
      <c r="D111" s="41"/>
      <c r="E111" s="41"/>
      <c r="F111" s="41"/>
      <c r="G111" s="41"/>
    </row>
    <row r="112" spans="4:7" x14ac:dyDescent="0.2">
      <c r="D112" s="41"/>
      <c r="E112" s="41"/>
      <c r="F112" s="41"/>
      <c r="G112" s="41"/>
    </row>
    <row r="113" spans="4:7" x14ac:dyDescent="0.2">
      <c r="D113" s="41"/>
      <c r="E113" s="41"/>
      <c r="F113" s="41"/>
      <c r="G113" s="41"/>
    </row>
    <row r="114" spans="4:7" x14ac:dyDescent="0.2">
      <c r="D114" s="41"/>
      <c r="E114" s="41"/>
      <c r="F114" s="41"/>
      <c r="G114" s="41"/>
    </row>
    <row r="115" spans="4:7" x14ac:dyDescent="0.2">
      <c r="D115" s="41"/>
      <c r="E115" s="41"/>
      <c r="F115" s="41"/>
      <c r="G115" s="41"/>
    </row>
    <row r="116" spans="4:7" x14ac:dyDescent="0.2">
      <c r="D116" s="41"/>
      <c r="E116" s="41"/>
      <c r="F116" s="41"/>
      <c r="G116" s="41"/>
    </row>
    <row r="117" spans="4:7" x14ac:dyDescent="0.2">
      <c r="D117" s="41"/>
      <c r="E117" s="41"/>
      <c r="F117" s="41"/>
      <c r="G117" s="41"/>
    </row>
    <row r="118" spans="4:7" x14ac:dyDescent="0.2">
      <c r="D118" s="41"/>
      <c r="E118" s="41"/>
      <c r="F118" s="41"/>
      <c r="G118" s="41"/>
    </row>
    <row r="119" spans="4:7" x14ac:dyDescent="0.2">
      <c r="D119" s="41"/>
      <c r="E119" s="41"/>
      <c r="F119" s="41"/>
      <c r="G119" s="41"/>
    </row>
    <row r="120" spans="4:7" x14ac:dyDescent="0.2">
      <c r="D120" s="41"/>
      <c r="E120" s="41"/>
      <c r="F120" s="41"/>
      <c r="G120" s="41"/>
    </row>
    <row r="121" spans="4:7" x14ac:dyDescent="0.2">
      <c r="D121" s="41"/>
      <c r="E121" s="41"/>
      <c r="F121" s="41"/>
      <c r="G121" s="41"/>
    </row>
    <row r="122" spans="4:7" x14ac:dyDescent="0.2">
      <c r="D122" s="41"/>
      <c r="E122" s="41"/>
      <c r="F122" s="41"/>
      <c r="G122" s="41"/>
    </row>
    <row r="123" spans="4:7" x14ac:dyDescent="0.2">
      <c r="D123" s="41"/>
      <c r="E123" s="41"/>
      <c r="F123" s="41"/>
      <c r="G123" s="41"/>
    </row>
    <row r="124" spans="4:7" x14ac:dyDescent="0.2">
      <c r="D124" s="41"/>
      <c r="E124" s="41"/>
      <c r="F124" s="41"/>
      <c r="G124" s="41"/>
    </row>
    <row r="125" spans="4:7" x14ac:dyDescent="0.2">
      <c r="D125" s="41"/>
      <c r="E125" s="41"/>
      <c r="F125" s="41"/>
      <c r="G125" s="41"/>
    </row>
    <row r="126" spans="4:7" x14ac:dyDescent="0.2">
      <c r="D126" s="41"/>
      <c r="E126" s="41"/>
      <c r="F126" s="41"/>
      <c r="G126" s="41"/>
    </row>
    <row r="127" spans="4:7" x14ac:dyDescent="0.2">
      <c r="D127" s="41"/>
      <c r="E127" s="41"/>
      <c r="F127" s="41"/>
      <c r="G127" s="41"/>
    </row>
    <row r="128" spans="4:7" x14ac:dyDescent="0.2">
      <c r="D128" s="41"/>
      <c r="E128" s="41"/>
      <c r="F128" s="41"/>
      <c r="G128" s="41"/>
    </row>
    <row r="129" spans="4:7" x14ac:dyDescent="0.2">
      <c r="D129" s="41"/>
      <c r="E129" s="41"/>
      <c r="F129" s="41"/>
      <c r="G129" s="41"/>
    </row>
    <row r="130" spans="4:7" x14ac:dyDescent="0.2">
      <c r="D130" s="41"/>
      <c r="E130" s="41"/>
      <c r="F130" s="41"/>
      <c r="G130" s="41"/>
    </row>
    <row r="131" spans="4:7" x14ac:dyDescent="0.2">
      <c r="D131" s="41"/>
      <c r="E131" s="41"/>
      <c r="F131" s="41"/>
      <c r="G131" s="41"/>
    </row>
    <row r="132" spans="4:7" x14ac:dyDescent="0.2">
      <c r="D132" s="41"/>
      <c r="E132" s="41"/>
      <c r="F132" s="41"/>
      <c r="G132" s="41"/>
    </row>
    <row r="133" spans="4:7" x14ac:dyDescent="0.2">
      <c r="D133" s="41"/>
      <c r="E133" s="41"/>
      <c r="F133" s="41"/>
      <c r="G133" s="41"/>
    </row>
    <row r="134" spans="4:7" x14ac:dyDescent="0.2">
      <c r="D134" s="41"/>
      <c r="E134" s="41"/>
      <c r="F134" s="41"/>
      <c r="G134" s="41"/>
    </row>
    <row r="135" spans="4:7" x14ac:dyDescent="0.2">
      <c r="D135" s="41"/>
      <c r="E135" s="41"/>
      <c r="F135" s="41"/>
      <c r="G135" s="41"/>
    </row>
    <row r="136" spans="4:7" x14ac:dyDescent="0.2">
      <c r="D136" s="41"/>
      <c r="E136" s="41"/>
      <c r="F136" s="41"/>
      <c r="G136" s="41"/>
    </row>
    <row r="137" spans="4:7" x14ac:dyDescent="0.2">
      <c r="D137" s="41"/>
      <c r="E137" s="41"/>
      <c r="F137" s="41"/>
      <c r="G137" s="41"/>
    </row>
    <row r="138" spans="4:7" x14ac:dyDescent="0.2">
      <c r="D138" s="41"/>
      <c r="E138" s="41"/>
      <c r="F138" s="41"/>
      <c r="G138" s="41"/>
    </row>
    <row r="139" spans="4:7" x14ac:dyDescent="0.2">
      <c r="D139" s="41"/>
      <c r="E139" s="41"/>
      <c r="F139" s="41"/>
      <c r="G139" s="41"/>
    </row>
    <row r="140" spans="4:7" x14ac:dyDescent="0.2">
      <c r="D140" s="41"/>
      <c r="E140" s="41"/>
      <c r="F140" s="41"/>
      <c r="G140" s="41"/>
    </row>
    <row r="141" spans="4:7" x14ac:dyDescent="0.2">
      <c r="D141" s="41"/>
      <c r="E141" s="41"/>
      <c r="F141" s="41"/>
      <c r="G141" s="41"/>
    </row>
    <row r="142" spans="4:7" x14ac:dyDescent="0.2">
      <c r="D142" s="41"/>
      <c r="E142" s="41"/>
      <c r="F142" s="41"/>
      <c r="G142" s="41"/>
    </row>
    <row r="143" spans="4:7" x14ac:dyDescent="0.2">
      <c r="D143" s="41"/>
      <c r="E143" s="41"/>
      <c r="F143" s="41"/>
      <c r="G143" s="41"/>
    </row>
    <row r="144" spans="4:7" x14ac:dyDescent="0.2">
      <c r="D144" s="41"/>
      <c r="E144" s="41"/>
      <c r="F144" s="41"/>
      <c r="G144" s="41"/>
    </row>
    <row r="145" spans="4:7" x14ac:dyDescent="0.2">
      <c r="D145" s="41"/>
      <c r="E145" s="41"/>
      <c r="F145" s="41"/>
      <c r="G145" s="41"/>
    </row>
    <row r="146" spans="4:7" x14ac:dyDescent="0.2">
      <c r="D146" s="41"/>
      <c r="E146" s="41"/>
      <c r="F146" s="41"/>
      <c r="G146" s="41"/>
    </row>
    <row r="147" spans="4:7" x14ac:dyDescent="0.2">
      <c r="D147" s="41"/>
      <c r="E147" s="41"/>
      <c r="F147" s="41"/>
      <c r="G147" s="41"/>
    </row>
    <row r="148" spans="4:7" x14ac:dyDescent="0.2">
      <c r="D148" s="41"/>
      <c r="E148" s="41"/>
      <c r="F148" s="41"/>
      <c r="G148" s="41"/>
    </row>
    <row r="149" spans="4:7" x14ac:dyDescent="0.2">
      <c r="D149" s="41"/>
      <c r="E149" s="41"/>
      <c r="F149" s="41"/>
      <c r="G149" s="41"/>
    </row>
    <row r="150" spans="4:7" x14ac:dyDescent="0.2">
      <c r="D150" s="41"/>
      <c r="E150" s="41"/>
      <c r="F150" s="41"/>
      <c r="G150" s="41"/>
    </row>
    <row r="151" spans="4:7" x14ac:dyDescent="0.2">
      <c r="D151" s="41"/>
      <c r="E151" s="41"/>
      <c r="F151" s="41"/>
      <c r="G151" s="41"/>
    </row>
    <row r="152" spans="4:7" x14ac:dyDescent="0.2">
      <c r="D152" s="41"/>
      <c r="E152" s="41"/>
      <c r="F152" s="41"/>
      <c r="G152" s="41"/>
    </row>
    <row r="153" spans="4:7" x14ac:dyDescent="0.2">
      <c r="D153" s="41"/>
      <c r="E153" s="41"/>
      <c r="F153" s="41"/>
      <c r="G153" s="41"/>
    </row>
    <row r="154" spans="4:7" x14ac:dyDescent="0.2">
      <c r="D154" s="41"/>
      <c r="E154" s="41"/>
      <c r="F154" s="41"/>
      <c r="G154" s="41"/>
    </row>
    <row r="155" spans="4:7" x14ac:dyDescent="0.2">
      <c r="D155" s="41"/>
      <c r="E155" s="41"/>
      <c r="F155" s="41"/>
      <c r="G155" s="41"/>
    </row>
    <row r="156" spans="4:7" x14ac:dyDescent="0.2">
      <c r="D156" s="41"/>
      <c r="E156" s="41"/>
      <c r="F156" s="41"/>
      <c r="G156" s="41"/>
    </row>
    <row r="157" spans="4:7" x14ac:dyDescent="0.2">
      <c r="D157" s="41"/>
      <c r="E157" s="41"/>
      <c r="F157" s="41"/>
      <c r="G157" s="41"/>
    </row>
    <row r="158" spans="4:7" x14ac:dyDescent="0.2">
      <c r="D158" s="41"/>
      <c r="E158" s="41"/>
      <c r="F158" s="41"/>
      <c r="G158" s="41"/>
    </row>
    <row r="159" spans="4:7" x14ac:dyDescent="0.2">
      <c r="D159" s="41"/>
      <c r="E159" s="41"/>
      <c r="F159" s="41"/>
      <c r="G159" s="41"/>
    </row>
    <row r="160" spans="4:7" x14ac:dyDescent="0.2">
      <c r="D160" s="41"/>
      <c r="E160" s="41"/>
      <c r="F160" s="41"/>
      <c r="G160" s="41"/>
    </row>
    <row r="161" spans="4:7" x14ac:dyDescent="0.2">
      <c r="D161" s="41"/>
      <c r="E161" s="41"/>
      <c r="F161" s="41"/>
      <c r="G161" s="41"/>
    </row>
    <row r="162" spans="4:7" x14ac:dyDescent="0.2">
      <c r="D162" s="41"/>
      <c r="E162" s="41"/>
      <c r="F162" s="41"/>
      <c r="G162" s="41"/>
    </row>
    <row r="163" spans="4:7" x14ac:dyDescent="0.2">
      <c r="D163" s="41"/>
      <c r="E163" s="41"/>
      <c r="F163" s="41"/>
      <c r="G163" s="41"/>
    </row>
    <row r="164" spans="4:7" x14ac:dyDescent="0.2">
      <c r="D164" s="41"/>
      <c r="E164" s="41"/>
      <c r="F164" s="41"/>
      <c r="G164" s="41"/>
    </row>
    <row r="165" spans="4:7" x14ac:dyDescent="0.2">
      <c r="D165" s="41"/>
      <c r="E165" s="41"/>
      <c r="F165" s="41"/>
      <c r="G165" s="41"/>
    </row>
    <row r="166" spans="4:7" x14ac:dyDescent="0.2">
      <c r="D166" s="41"/>
      <c r="E166" s="41"/>
      <c r="F166" s="41"/>
      <c r="G166" s="41"/>
    </row>
    <row r="167" spans="4:7" x14ac:dyDescent="0.2">
      <c r="D167" s="41"/>
      <c r="E167" s="41"/>
      <c r="F167" s="41"/>
      <c r="G167" s="41"/>
    </row>
    <row r="168" spans="4:7" x14ac:dyDescent="0.2">
      <c r="D168" s="41"/>
      <c r="E168" s="41"/>
      <c r="F168" s="41"/>
      <c r="G168" s="41"/>
    </row>
    <row r="169" spans="4:7" x14ac:dyDescent="0.2">
      <c r="D169" s="41"/>
      <c r="E169" s="41"/>
      <c r="F169" s="41"/>
      <c r="G169" s="41"/>
    </row>
    <row r="170" spans="4:7" x14ac:dyDescent="0.2">
      <c r="D170" s="41"/>
      <c r="E170" s="41"/>
      <c r="F170" s="41"/>
      <c r="G170" s="41"/>
    </row>
    <row r="171" spans="4:7" x14ac:dyDescent="0.2">
      <c r="D171" s="41"/>
      <c r="E171" s="41"/>
      <c r="F171" s="41"/>
      <c r="G171" s="41"/>
    </row>
    <row r="172" spans="4:7" x14ac:dyDescent="0.2">
      <c r="D172" s="41"/>
      <c r="E172" s="41"/>
      <c r="F172" s="41"/>
      <c r="G172" s="41"/>
    </row>
    <row r="173" spans="4:7" x14ac:dyDescent="0.2">
      <c r="D173" s="41"/>
      <c r="E173" s="41"/>
      <c r="F173" s="41"/>
      <c r="G173" s="41"/>
    </row>
    <row r="174" spans="4:7" x14ac:dyDescent="0.2">
      <c r="D174" s="41"/>
      <c r="E174" s="41"/>
      <c r="F174" s="41"/>
      <c r="G174" s="41"/>
    </row>
    <row r="175" spans="4:7" x14ac:dyDescent="0.2">
      <c r="D175" s="41"/>
      <c r="E175" s="41"/>
      <c r="F175" s="41"/>
      <c r="G175" s="41"/>
    </row>
    <row r="176" spans="4:7" x14ac:dyDescent="0.2">
      <c r="D176" s="41"/>
      <c r="E176" s="41"/>
      <c r="F176" s="41"/>
      <c r="G176" s="41"/>
    </row>
    <row r="177" spans="4:7" x14ac:dyDescent="0.2">
      <c r="D177" s="41"/>
      <c r="E177" s="41"/>
      <c r="F177" s="41"/>
      <c r="G177" s="41"/>
    </row>
    <row r="178" spans="4:7" x14ac:dyDescent="0.2">
      <c r="D178" s="41"/>
      <c r="E178" s="41"/>
      <c r="F178" s="41"/>
      <c r="G178" s="41"/>
    </row>
    <row r="179" spans="4:7" x14ac:dyDescent="0.2">
      <c r="D179" s="41"/>
      <c r="E179" s="41"/>
      <c r="F179" s="41"/>
      <c r="G179" s="41"/>
    </row>
    <row r="180" spans="4:7" x14ac:dyDescent="0.2">
      <c r="D180" s="41"/>
      <c r="E180" s="41"/>
      <c r="F180" s="41"/>
      <c r="G180" s="41"/>
    </row>
    <row r="199" spans="3:3" x14ac:dyDescent="0.2">
      <c r="C199" s="40" t="s">
        <v>119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4A2DC-F578-4C05-9B28-40AE2A56A085}">
  <sheetPr codeName="Sheet6"/>
  <dimension ref="A1:P190"/>
  <sheetViews>
    <sheetView workbookViewId="0">
      <pane xSplit="1" ySplit="2" topLeftCell="D22" activePane="bottomRight" state="frozen"/>
      <selection activeCell="C195" sqref="C195"/>
      <selection pane="topRight" activeCell="C195" sqref="C195"/>
      <selection pane="bottomLeft" activeCell="C195" sqref="C195"/>
      <selection pane="bottomRight" activeCell="H48" sqref="H48"/>
    </sheetView>
  </sheetViews>
  <sheetFormatPr defaultRowHeight="12.75" x14ac:dyDescent="0.2"/>
  <cols>
    <col min="1" max="1" width="13.85546875" bestFit="1" customWidth="1"/>
    <col min="2" max="2" width="3.140625" bestFit="1" customWidth="1"/>
    <col min="3" max="4" width="7.5703125" bestFit="1" customWidth="1"/>
    <col min="5" max="5" width="31.140625" bestFit="1" customWidth="1"/>
    <col min="6" max="6" width="16.28515625" bestFit="1" customWidth="1"/>
    <col min="7" max="7" width="5.42578125" customWidth="1"/>
    <col min="8" max="8" width="27.5703125" style="28" bestFit="1" customWidth="1"/>
    <col min="9" max="13" width="7.140625" style="31" customWidth="1"/>
    <col min="14" max="15" width="3.42578125" style="31" customWidth="1"/>
    <col min="16" max="16" width="44.42578125" style="28" customWidth="1"/>
  </cols>
  <sheetData>
    <row r="1" spans="1:16" x14ac:dyDescent="0.2">
      <c r="I1" s="58" t="s">
        <v>553</v>
      </c>
      <c r="J1" s="58"/>
      <c r="K1" s="58"/>
      <c r="L1" s="27"/>
      <c r="M1" s="27"/>
      <c r="N1" s="27"/>
      <c r="O1" s="27"/>
    </row>
    <row r="2" spans="1:16" s="26" customFormat="1" ht="82.5" x14ac:dyDescent="0.2">
      <c r="A2" s="23" t="s">
        <v>392</v>
      </c>
      <c r="B2" s="23" t="s">
        <v>384</v>
      </c>
      <c r="C2" s="24" t="s">
        <v>391</v>
      </c>
      <c r="D2" s="25" t="s">
        <v>552</v>
      </c>
      <c r="E2" s="24" t="s">
        <v>381</v>
      </c>
      <c r="F2" s="24" t="s">
        <v>382</v>
      </c>
      <c r="G2" s="24" t="s">
        <v>385</v>
      </c>
      <c r="H2" s="29" t="s">
        <v>383</v>
      </c>
      <c r="I2" s="24" t="s">
        <v>550</v>
      </c>
      <c r="J2" s="24" t="s">
        <v>551</v>
      </c>
      <c r="K2" s="24" t="s">
        <v>588</v>
      </c>
      <c r="L2" s="24" t="s">
        <v>627</v>
      </c>
      <c r="M2" s="24" t="s">
        <v>628</v>
      </c>
      <c r="N2" s="24" t="s">
        <v>640</v>
      </c>
      <c r="O2" s="24" t="s">
        <v>641</v>
      </c>
      <c r="P2" s="29" t="s">
        <v>111</v>
      </c>
    </row>
    <row r="3" spans="1:16" s="21" customFormat="1" x14ac:dyDescent="0.2">
      <c r="A3" s="46" t="s">
        <v>572</v>
      </c>
      <c r="B3" s="45"/>
      <c r="C3" s="46" t="s">
        <v>573</v>
      </c>
      <c r="D3" s="46" t="s">
        <v>574</v>
      </c>
      <c r="E3" s="45" t="s">
        <v>574</v>
      </c>
      <c r="F3" s="45" t="s">
        <v>572</v>
      </c>
      <c r="G3" s="45" t="s">
        <v>129</v>
      </c>
      <c r="H3" s="57" t="s">
        <v>678</v>
      </c>
      <c r="I3" s="50"/>
      <c r="J3" s="50"/>
      <c r="K3" s="50"/>
      <c r="L3" s="50"/>
      <c r="M3" s="49"/>
      <c r="N3" s="49"/>
      <c r="O3" s="49"/>
      <c r="P3" s="57" t="s">
        <v>684</v>
      </c>
    </row>
    <row r="4" spans="1:16" s="21" customFormat="1" x14ac:dyDescent="0.2">
      <c r="A4" s="46" t="s">
        <v>572</v>
      </c>
      <c r="B4" s="45"/>
      <c r="C4" s="46" t="s">
        <v>575</v>
      </c>
      <c r="D4" s="46" t="s">
        <v>576</v>
      </c>
      <c r="E4" s="45" t="s">
        <v>577</v>
      </c>
      <c r="F4" s="45" t="s">
        <v>572</v>
      </c>
      <c r="G4" s="45" t="s">
        <v>129</v>
      </c>
      <c r="H4" s="57" t="s">
        <v>679</v>
      </c>
      <c r="I4" s="50"/>
      <c r="J4" s="50"/>
      <c r="K4" s="50"/>
      <c r="L4" s="50"/>
      <c r="M4" s="49"/>
      <c r="N4" s="49"/>
      <c r="O4" s="49"/>
      <c r="P4" s="57" t="s">
        <v>685</v>
      </c>
    </row>
    <row r="5" spans="1:16" s="21" customFormat="1" x14ac:dyDescent="0.2">
      <c r="A5" s="46" t="s">
        <v>572</v>
      </c>
      <c r="B5" s="45"/>
      <c r="C5" s="46" t="s">
        <v>676</v>
      </c>
      <c r="D5" s="46" t="s">
        <v>578</v>
      </c>
      <c r="E5" s="45" t="s">
        <v>677</v>
      </c>
      <c r="F5" s="45" t="s">
        <v>572</v>
      </c>
      <c r="G5" s="45" t="s">
        <v>129</v>
      </c>
      <c r="H5" s="57" t="s">
        <v>680</v>
      </c>
      <c r="I5" s="50"/>
      <c r="J5" s="50"/>
      <c r="K5" s="50"/>
      <c r="L5" s="50"/>
      <c r="M5" s="49"/>
      <c r="N5" s="49"/>
      <c r="O5" s="49"/>
      <c r="P5" s="57" t="s">
        <v>686</v>
      </c>
    </row>
    <row r="6" spans="1:16" s="21" customFormat="1" x14ac:dyDescent="0.2">
      <c r="A6" s="46" t="s">
        <v>572</v>
      </c>
      <c r="B6" s="45"/>
      <c r="C6" s="46" t="s">
        <v>579</v>
      </c>
      <c r="D6" s="46" t="s">
        <v>580</v>
      </c>
      <c r="E6" s="45" t="s">
        <v>581</v>
      </c>
      <c r="F6" s="45" t="s">
        <v>572</v>
      </c>
      <c r="G6" s="45" t="s">
        <v>129</v>
      </c>
      <c r="H6" s="57" t="s">
        <v>681</v>
      </c>
      <c r="I6" s="50"/>
      <c r="J6" s="50"/>
      <c r="K6" s="50"/>
      <c r="L6" s="50"/>
      <c r="M6" s="49"/>
      <c r="N6" s="49"/>
      <c r="O6" s="49"/>
      <c r="P6" s="57" t="s">
        <v>687</v>
      </c>
    </row>
    <row r="7" spans="1:16" s="21" customFormat="1" x14ac:dyDescent="0.2">
      <c r="A7" s="46" t="s">
        <v>572</v>
      </c>
      <c r="B7" s="45"/>
      <c r="C7" s="46" t="s">
        <v>582</v>
      </c>
      <c r="D7" s="46" t="s">
        <v>583</v>
      </c>
      <c r="E7" s="45" t="s">
        <v>584</v>
      </c>
      <c r="F7" s="45" t="s">
        <v>572</v>
      </c>
      <c r="G7" s="45" t="s">
        <v>129</v>
      </c>
      <c r="H7" s="57" t="s">
        <v>682</v>
      </c>
      <c r="I7" s="50"/>
      <c r="J7" s="50"/>
      <c r="K7" s="50"/>
      <c r="L7" s="50"/>
      <c r="M7" s="49"/>
      <c r="N7" s="49"/>
      <c r="O7" s="49"/>
      <c r="P7" s="57" t="s">
        <v>688</v>
      </c>
    </row>
    <row r="8" spans="1:16" s="21" customFormat="1" x14ac:dyDescent="0.2">
      <c r="A8" s="46" t="s">
        <v>572</v>
      </c>
      <c r="B8" s="45"/>
      <c r="C8" s="46" t="s">
        <v>585</v>
      </c>
      <c r="D8" s="46" t="s">
        <v>586</v>
      </c>
      <c r="E8" s="45" t="s">
        <v>587</v>
      </c>
      <c r="F8" s="45" t="s">
        <v>572</v>
      </c>
      <c r="G8" s="45" t="s">
        <v>129</v>
      </c>
      <c r="H8" s="57" t="s">
        <v>683</v>
      </c>
      <c r="I8" s="50"/>
      <c r="J8" s="50"/>
      <c r="K8" s="50"/>
      <c r="L8" s="50"/>
      <c r="M8" s="49"/>
      <c r="N8" s="49"/>
      <c r="O8" s="49"/>
      <c r="P8" s="57" t="s">
        <v>689</v>
      </c>
    </row>
    <row r="9" spans="1:16" x14ac:dyDescent="0.2">
      <c r="A9" s="46" t="s">
        <v>388</v>
      </c>
      <c r="B9" s="45"/>
      <c r="C9" s="46" t="s">
        <v>354</v>
      </c>
      <c r="D9" s="46" t="s">
        <v>31</v>
      </c>
      <c r="E9" s="45" t="s">
        <v>31</v>
      </c>
      <c r="F9" s="45" t="s">
        <v>33</v>
      </c>
      <c r="G9" s="45" t="s">
        <v>129</v>
      </c>
      <c r="H9" s="56" t="s">
        <v>34</v>
      </c>
      <c r="I9" s="49"/>
      <c r="J9" s="49"/>
      <c r="K9" s="49"/>
      <c r="L9" s="49"/>
      <c r="M9" s="49"/>
      <c r="N9" s="51"/>
      <c r="O9" s="49"/>
      <c r="P9" s="52" t="s">
        <v>646</v>
      </c>
    </row>
    <row r="10" spans="1:16" x14ac:dyDescent="0.2">
      <c r="A10" s="7" t="s">
        <v>388</v>
      </c>
      <c r="B10" t="s">
        <v>148</v>
      </c>
      <c r="C10" s="7" t="s">
        <v>355</v>
      </c>
      <c r="D10" s="7" t="s">
        <v>511</v>
      </c>
      <c r="E10" s="7" t="s">
        <v>356</v>
      </c>
      <c r="F10" t="s">
        <v>33</v>
      </c>
      <c r="G10" t="s">
        <v>129</v>
      </c>
      <c r="H10" s="28" t="s">
        <v>39</v>
      </c>
      <c r="I10" s="31">
        <v>10</v>
      </c>
      <c r="J10" s="31">
        <v>15</v>
      </c>
      <c r="L10" s="31">
        <v>50</v>
      </c>
      <c r="M10" s="31">
        <v>6</v>
      </c>
      <c r="N10" s="33" t="s">
        <v>148</v>
      </c>
    </row>
    <row r="11" spans="1:16" x14ac:dyDescent="0.2">
      <c r="A11" s="7" t="s">
        <v>388</v>
      </c>
      <c r="B11" t="s">
        <v>148</v>
      </c>
      <c r="C11" s="7" t="s">
        <v>357</v>
      </c>
      <c r="D11" s="7" t="s">
        <v>42</v>
      </c>
      <c r="E11" s="7" t="s">
        <v>42</v>
      </c>
      <c r="F11" t="s">
        <v>33</v>
      </c>
      <c r="G11" t="s">
        <v>129</v>
      </c>
      <c r="H11" s="28" t="s">
        <v>43</v>
      </c>
      <c r="I11" s="31">
        <v>10</v>
      </c>
      <c r="J11" s="31">
        <v>15</v>
      </c>
      <c r="L11" s="31">
        <v>50</v>
      </c>
      <c r="M11" s="31">
        <v>6</v>
      </c>
      <c r="N11" s="33" t="s">
        <v>148</v>
      </c>
    </row>
    <row r="12" spans="1:16" x14ac:dyDescent="0.2">
      <c r="A12" s="7" t="s">
        <v>388</v>
      </c>
      <c r="B12" s="7" t="s">
        <v>148</v>
      </c>
      <c r="C12" s="7" t="s">
        <v>358</v>
      </c>
      <c r="D12" s="7" t="s">
        <v>512</v>
      </c>
      <c r="E12" t="s">
        <v>47</v>
      </c>
      <c r="F12" t="s">
        <v>33</v>
      </c>
      <c r="G12" t="s">
        <v>129</v>
      </c>
      <c r="H12" s="28" t="s">
        <v>48</v>
      </c>
      <c r="I12" s="31">
        <v>10</v>
      </c>
      <c r="J12" s="31">
        <v>15</v>
      </c>
      <c r="L12" s="31">
        <v>50</v>
      </c>
      <c r="M12" s="31">
        <v>6</v>
      </c>
      <c r="N12" s="33" t="s">
        <v>148</v>
      </c>
    </row>
    <row r="13" spans="1:16" ht="15" x14ac:dyDescent="0.25">
      <c r="A13" s="46" t="s">
        <v>388</v>
      </c>
      <c r="B13" s="45"/>
      <c r="C13" s="46" t="s">
        <v>359</v>
      </c>
      <c r="D13" s="46" t="s">
        <v>513</v>
      </c>
      <c r="E13" s="45" t="s">
        <v>51</v>
      </c>
      <c r="F13" s="45" t="s">
        <v>33</v>
      </c>
      <c r="G13" s="45" t="s">
        <v>129</v>
      </c>
      <c r="H13" s="53" t="s">
        <v>52</v>
      </c>
      <c r="I13" s="54"/>
      <c r="J13" s="54"/>
      <c r="K13" s="54"/>
      <c r="L13" s="49"/>
      <c r="M13" s="49"/>
      <c r="N13" s="49"/>
      <c r="O13" s="49"/>
      <c r="P13" s="52" t="s">
        <v>646</v>
      </c>
    </row>
    <row r="14" spans="1:16" ht="15" x14ac:dyDescent="0.25">
      <c r="A14" s="46" t="s">
        <v>388</v>
      </c>
      <c r="B14" s="45"/>
      <c r="C14" s="46" t="s">
        <v>566</v>
      </c>
      <c r="D14" s="46" t="s">
        <v>567</v>
      </c>
      <c r="E14" s="45" t="s">
        <v>568</v>
      </c>
      <c r="F14" s="45" t="s">
        <v>539</v>
      </c>
      <c r="G14" s="45" t="s">
        <v>129</v>
      </c>
      <c r="H14" s="53" t="s">
        <v>569</v>
      </c>
      <c r="I14" s="54"/>
      <c r="J14" s="54"/>
      <c r="K14" s="54"/>
      <c r="L14" s="49"/>
      <c r="M14" s="49"/>
      <c r="N14" s="49"/>
      <c r="O14" s="49"/>
      <c r="P14" s="52"/>
    </row>
    <row r="15" spans="1:16" ht="15" x14ac:dyDescent="0.25">
      <c r="A15" s="46" t="s">
        <v>388</v>
      </c>
      <c r="B15" s="45"/>
      <c r="C15" s="46" t="s">
        <v>360</v>
      </c>
      <c r="D15" s="46" t="s">
        <v>54</v>
      </c>
      <c r="E15" s="46" t="s">
        <v>54</v>
      </c>
      <c r="F15" s="45" t="s">
        <v>33</v>
      </c>
      <c r="G15" s="45" t="s">
        <v>129</v>
      </c>
      <c r="H15" s="55" t="s">
        <v>55</v>
      </c>
      <c r="I15" s="49"/>
      <c r="J15" s="49"/>
      <c r="K15" s="48"/>
      <c r="L15" s="49"/>
      <c r="M15" s="49"/>
      <c r="N15" s="49"/>
      <c r="O15" s="49"/>
      <c r="P15" s="52" t="s">
        <v>646</v>
      </c>
    </row>
    <row r="16" spans="1:16" x14ac:dyDescent="0.2">
      <c r="A16" s="7" t="s">
        <v>388</v>
      </c>
      <c r="B16" t="s">
        <v>148</v>
      </c>
      <c r="C16" s="7" t="s">
        <v>540</v>
      </c>
      <c r="E16" s="7" t="s">
        <v>546</v>
      </c>
      <c r="F16" t="s">
        <v>539</v>
      </c>
      <c r="G16" t="s">
        <v>129</v>
      </c>
      <c r="H16" s="28" t="s">
        <v>547</v>
      </c>
      <c r="I16" s="31">
        <v>5</v>
      </c>
      <c r="J16" s="31">
        <v>10</v>
      </c>
      <c r="L16" s="31">
        <v>50</v>
      </c>
      <c r="M16" s="31">
        <v>6</v>
      </c>
      <c r="N16" s="33" t="s">
        <v>148</v>
      </c>
      <c r="P16" s="22" t="s">
        <v>647</v>
      </c>
    </row>
    <row r="17" spans="1:16" ht="15" x14ac:dyDescent="0.25">
      <c r="A17" s="7" t="s">
        <v>388</v>
      </c>
      <c r="B17" t="s">
        <v>148</v>
      </c>
      <c r="C17" s="7" t="s">
        <v>541</v>
      </c>
      <c r="E17" s="7" t="s">
        <v>542</v>
      </c>
      <c r="F17" t="s">
        <v>539</v>
      </c>
      <c r="G17" t="s">
        <v>129</v>
      </c>
      <c r="H17" s="30" t="s">
        <v>548</v>
      </c>
      <c r="I17" s="32">
        <v>5</v>
      </c>
      <c r="J17" s="32">
        <v>10</v>
      </c>
      <c r="K17" s="32"/>
      <c r="L17" s="31">
        <v>50</v>
      </c>
      <c r="M17" s="31">
        <v>6</v>
      </c>
      <c r="N17" s="33" t="s">
        <v>148</v>
      </c>
      <c r="P17" s="22" t="s">
        <v>647</v>
      </c>
    </row>
    <row r="18" spans="1:16" ht="15" x14ac:dyDescent="0.25">
      <c r="A18" s="46" t="s">
        <v>388</v>
      </c>
      <c r="B18" s="45"/>
      <c r="C18" s="46" t="s">
        <v>570</v>
      </c>
      <c r="D18" s="45"/>
      <c r="E18" s="46" t="s">
        <v>571</v>
      </c>
      <c r="F18" s="45" t="s">
        <v>539</v>
      </c>
      <c r="G18" s="45" t="s">
        <v>129</v>
      </c>
      <c r="H18" s="55"/>
      <c r="I18" s="48"/>
      <c r="J18" s="48"/>
      <c r="K18" s="48"/>
      <c r="L18" s="49"/>
      <c r="M18" s="49"/>
      <c r="N18" s="49"/>
      <c r="O18" s="49"/>
      <c r="P18" s="47"/>
    </row>
    <row r="19" spans="1:16" ht="15" x14ac:dyDescent="0.25">
      <c r="A19" s="7" t="s">
        <v>388</v>
      </c>
      <c r="B19" t="s">
        <v>148</v>
      </c>
      <c r="C19" s="7" t="s">
        <v>544</v>
      </c>
      <c r="D19" s="7"/>
      <c r="E19" s="7" t="s">
        <v>543</v>
      </c>
      <c r="F19" t="s">
        <v>539</v>
      </c>
      <c r="G19" t="s">
        <v>129</v>
      </c>
      <c r="H19" s="30" t="s">
        <v>545</v>
      </c>
      <c r="I19" s="32">
        <v>5</v>
      </c>
      <c r="J19" s="32">
        <v>10</v>
      </c>
      <c r="K19" s="32"/>
      <c r="L19" s="31">
        <v>50</v>
      </c>
      <c r="M19" s="31">
        <v>6</v>
      </c>
      <c r="N19" s="33" t="s">
        <v>148</v>
      </c>
      <c r="P19" s="22" t="s">
        <v>647</v>
      </c>
    </row>
    <row r="20" spans="1:16" x14ac:dyDescent="0.2">
      <c r="A20" t="s">
        <v>338</v>
      </c>
      <c r="B20" t="s">
        <v>148</v>
      </c>
      <c r="C20" s="7" t="s">
        <v>336</v>
      </c>
      <c r="D20" s="7" t="s">
        <v>336</v>
      </c>
      <c r="E20" t="s">
        <v>337</v>
      </c>
      <c r="F20" s="7" t="s">
        <v>338</v>
      </c>
      <c r="G20" t="s">
        <v>129</v>
      </c>
      <c r="H20" s="28" t="s">
        <v>339</v>
      </c>
      <c r="I20" s="31">
        <v>5</v>
      </c>
      <c r="J20" s="31">
        <v>15</v>
      </c>
      <c r="L20" s="31">
        <v>50</v>
      </c>
      <c r="M20" s="31">
        <v>6</v>
      </c>
      <c r="N20" s="33" t="s">
        <v>148</v>
      </c>
      <c r="O20" s="33" t="s">
        <v>148</v>
      </c>
    </row>
    <row r="21" spans="1:16" ht="15" x14ac:dyDescent="0.25">
      <c r="A21" t="s">
        <v>338</v>
      </c>
      <c r="B21" t="s">
        <v>148</v>
      </c>
      <c r="C21" s="7" t="s">
        <v>340</v>
      </c>
      <c r="D21" s="7" t="s">
        <v>506</v>
      </c>
      <c r="E21" t="s">
        <v>341</v>
      </c>
      <c r="F21" t="s">
        <v>338</v>
      </c>
      <c r="G21" t="s">
        <v>129</v>
      </c>
      <c r="H21" s="28" t="s">
        <v>342</v>
      </c>
      <c r="I21" s="32">
        <v>5</v>
      </c>
      <c r="J21" s="31">
        <v>15</v>
      </c>
      <c r="L21" s="31">
        <v>50</v>
      </c>
      <c r="M21" s="31">
        <v>6</v>
      </c>
      <c r="N21" s="33" t="s">
        <v>148</v>
      </c>
      <c r="O21" s="33" t="s">
        <v>148</v>
      </c>
    </row>
    <row r="22" spans="1:16" ht="15" x14ac:dyDescent="0.25">
      <c r="A22" t="s">
        <v>338</v>
      </c>
      <c r="B22" t="s">
        <v>148</v>
      </c>
      <c r="C22" s="7" t="s">
        <v>343</v>
      </c>
      <c r="D22" s="7" t="s">
        <v>507</v>
      </c>
      <c r="E22" t="s">
        <v>344</v>
      </c>
      <c r="F22" t="s">
        <v>338</v>
      </c>
      <c r="G22" t="s">
        <v>129</v>
      </c>
      <c r="H22" s="28" t="s">
        <v>345</v>
      </c>
      <c r="I22" s="32">
        <v>5</v>
      </c>
      <c r="J22" s="31">
        <v>15</v>
      </c>
      <c r="L22" s="31">
        <v>50</v>
      </c>
      <c r="M22" s="31">
        <v>6</v>
      </c>
      <c r="N22" s="33" t="s">
        <v>148</v>
      </c>
      <c r="O22" s="33" t="s">
        <v>148</v>
      </c>
    </row>
    <row r="23" spans="1:16" ht="15" x14ac:dyDescent="0.25">
      <c r="A23" t="s">
        <v>338</v>
      </c>
      <c r="B23" t="s">
        <v>148</v>
      </c>
      <c r="C23" s="7" t="s">
        <v>346</v>
      </c>
      <c r="D23" s="7" t="s">
        <v>510</v>
      </c>
      <c r="E23" t="s">
        <v>347</v>
      </c>
      <c r="F23" t="s">
        <v>338</v>
      </c>
      <c r="G23" t="s">
        <v>129</v>
      </c>
      <c r="H23" s="28" t="s">
        <v>348</v>
      </c>
      <c r="I23" s="32">
        <v>5</v>
      </c>
      <c r="J23" s="31">
        <v>15</v>
      </c>
      <c r="L23" s="31">
        <v>50</v>
      </c>
      <c r="M23" s="31">
        <v>6</v>
      </c>
      <c r="N23" s="33" t="s">
        <v>148</v>
      </c>
      <c r="O23" s="33" t="s">
        <v>148</v>
      </c>
    </row>
    <row r="24" spans="1:16" ht="15" x14ac:dyDescent="0.25">
      <c r="A24" s="45" t="s">
        <v>338</v>
      </c>
      <c r="B24" s="45"/>
      <c r="C24" s="46" t="s">
        <v>560</v>
      </c>
      <c r="D24" s="46" t="s">
        <v>565</v>
      </c>
      <c r="E24" s="46" t="s">
        <v>562</v>
      </c>
      <c r="F24" s="45" t="s">
        <v>338</v>
      </c>
      <c r="G24" s="45" t="s">
        <v>129</v>
      </c>
      <c r="H24" s="47"/>
      <c r="I24" s="48"/>
      <c r="J24" s="49"/>
      <c r="K24" s="49"/>
      <c r="L24" s="49"/>
      <c r="M24" s="49"/>
      <c r="N24" s="49"/>
      <c r="O24" s="49"/>
      <c r="P24" s="47"/>
    </row>
    <row r="25" spans="1:16" ht="15" x14ac:dyDescent="0.25">
      <c r="A25" s="45" t="s">
        <v>338</v>
      </c>
      <c r="B25" s="45"/>
      <c r="C25" s="46" t="s">
        <v>561</v>
      </c>
      <c r="D25" s="46" t="s">
        <v>563</v>
      </c>
      <c r="E25" s="46" t="s">
        <v>564</v>
      </c>
      <c r="F25" s="45" t="s">
        <v>338</v>
      </c>
      <c r="G25" s="45" t="s">
        <v>129</v>
      </c>
      <c r="H25" s="47"/>
      <c r="I25" s="48"/>
      <c r="J25" s="49"/>
      <c r="K25" s="49"/>
      <c r="L25" s="49"/>
      <c r="M25" s="49"/>
      <c r="N25" s="49"/>
      <c r="O25" s="49"/>
      <c r="P25" s="47"/>
    </row>
    <row r="26" spans="1:16" ht="15" x14ac:dyDescent="0.25">
      <c r="A26" t="s">
        <v>338</v>
      </c>
      <c r="B26" t="s">
        <v>148</v>
      </c>
      <c r="C26" s="7" t="s">
        <v>349</v>
      </c>
      <c r="D26" s="7" t="s">
        <v>508</v>
      </c>
      <c r="E26" t="s">
        <v>350</v>
      </c>
      <c r="F26" t="s">
        <v>338</v>
      </c>
      <c r="G26" t="s">
        <v>129</v>
      </c>
      <c r="H26" s="28" t="s">
        <v>351</v>
      </c>
      <c r="I26" s="32">
        <v>5</v>
      </c>
      <c r="J26" s="31">
        <v>15</v>
      </c>
      <c r="L26" s="31">
        <v>50</v>
      </c>
      <c r="M26" s="31">
        <v>6</v>
      </c>
      <c r="N26" s="33" t="s">
        <v>148</v>
      </c>
      <c r="O26" s="33" t="s">
        <v>148</v>
      </c>
    </row>
    <row r="27" spans="1:16" ht="15" x14ac:dyDescent="0.25">
      <c r="A27" t="s">
        <v>338</v>
      </c>
      <c r="B27" t="s">
        <v>148</v>
      </c>
      <c r="C27" s="7" t="s">
        <v>555</v>
      </c>
      <c r="D27" s="7" t="s">
        <v>509</v>
      </c>
      <c r="E27" t="s">
        <v>352</v>
      </c>
      <c r="F27" t="s">
        <v>338</v>
      </c>
      <c r="G27" t="s">
        <v>129</v>
      </c>
      <c r="H27" s="28" t="s">
        <v>353</v>
      </c>
      <c r="I27" s="32">
        <v>5</v>
      </c>
      <c r="J27" s="31">
        <v>15</v>
      </c>
      <c r="L27" s="31">
        <v>50</v>
      </c>
      <c r="M27" s="31">
        <v>6</v>
      </c>
      <c r="N27" s="33" t="s">
        <v>148</v>
      </c>
      <c r="O27" s="33" t="s">
        <v>148</v>
      </c>
    </row>
    <row r="28" spans="1:16" x14ac:dyDescent="0.2">
      <c r="A28" s="7" t="s">
        <v>675</v>
      </c>
      <c r="B28" t="s">
        <v>148</v>
      </c>
      <c r="C28" s="7" t="s">
        <v>453</v>
      </c>
      <c r="D28" s="7" t="s">
        <v>535</v>
      </c>
      <c r="E28" s="7" t="s">
        <v>363</v>
      </c>
      <c r="F28" s="7" t="s">
        <v>664</v>
      </c>
      <c r="G28" s="7" t="s">
        <v>386</v>
      </c>
      <c r="H28" s="22" t="s">
        <v>665</v>
      </c>
      <c r="I28" s="33">
        <v>15</v>
      </c>
      <c r="J28" s="33"/>
      <c r="K28" s="33"/>
      <c r="L28" s="31">
        <v>50</v>
      </c>
      <c r="M28" s="33">
        <v>6</v>
      </c>
      <c r="N28" s="33" t="s">
        <v>148</v>
      </c>
      <c r="O28" s="33" t="s">
        <v>148</v>
      </c>
      <c r="P28" s="22"/>
    </row>
    <row r="29" spans="1:16" x14ac:dyDescent="0.2">
      <c r="A29" s="7" t="s">
        <v>675</v>
      </c>
      <c r="B29" t="s">
        <v>148</v>
      </c>
      <c r="C29" s="7" t="s">
        <v>656</v>
      </c>
      <c r="D29" s="7" t="s">
        <v>537</v>
      </c>
      <c r="E29" s="7" t="s">
        <v>364</v>
      </c>
      <c r="F29" s="7" t="s">
        <v>664</v>
      </c>
      <c r="G29" s="7" t="s">
        <v>386</v>
      </c>
      <c r="H29" s="22" t="s">
        <v>666</v>
      </c>
      <c r="I29" s="33">
        <v>15</v>
      </c>
      <c r="J29" s="33"/>
      <c r="K29" s="33"/>
      <c r="L29" s="31">
        <v>50</v>
      </c>
      <c r="M29" s="33">
        <v>6</v>
      </c>
      <c r="N29" s="33" t="s">
        <v>148</v>
      </c>
      <c r="O29" s="33" t="s">
        <v>148</v>
      </c>
      <c r="P29" s="22" t="s">
        <v>671</v>
      </c>
    </row>
    <row r="30" spans="1:16" x14ac:dyDescent="0.2">
      <c r="A30" s="7" t="s">
        <v>675</v>
      </c>
      <c r="B30" t="s">
        <v>148</v>
      </c>
      <c r="C30" s="7" t="s">
        <v>657</v>
      </c>
      <c r="D30" s="7" t="s">
        <v>536</v>
      </c>
      <c r="E30" s="7" t="s">
        <v>365</v>
      </c>
      <c r="F30" s="7" t="s">
        <v>664</v>
      </c>
      <c r="G30" s="7" t="s">
        <v>386</v>
      </c>
      <c r="H30" s="22" t="s">
        <v>667</v>
      </c>
      <c r="I30" s="33">
        <v>15</v>
      </c>
      <c r="J30" s="33"/>
      <c r="K30" s="33"/>
      <c r="L30" s="31">
        <v>50</v>
      </c>
      <c r="M30" s="33">
        <v>6</v>
      </c>
      <c r="N30" s="33" t="s">
        <v>148</v>
      </c>
      <c r="O30" s="33" t="s">
        <v>148</v>
      </c>
      <c r="P30" s="22"/>
    </row>
    <row r="31" spans="1:16" x14ac:dyDescent="0.2">
      <c r="A31" s="7" t="s">
        <v>675</v>
      </c>
      <c r="B31" t="s">
        <v>148</v>
      </c>
      <c r="C31" s="7" t="s">
        <v>658</v>
      </c>
      <c r="D31" s="7" t="s">
        <v>361</v>
      </c>
      <c r="E31" s="7" t="s">
        <v>661</v>
      </c>
      <c r="F31" s="7" t="s">
        <v>664</v>
      </c>
      <c r="G31" s="7" t="s">
        <v>386</v>
      </c>
      <c r="H31" s="22" t="s">
        <v>668</v>
      </c>
      <c r="I31" s="33">
        <v>5</v>
      </c>
      <c r="J31" s="33">
        <v>15</v>
      </c>
      <c r="K31" s="33"/>
      <c r="L31" s="31">
        <v>50</v>
      </c>
      <c r="M31" s="33">
        <v>6</v>
      </c>
      <c r="N31" s="33" t="s">
        <v>148</v>
      </c>
      <c r="O31" s="33" t="s">
        <v>148</v>
      </c>
      <c r="P31" s="22" t="s">
        <v>672</v>
      </c>
    </row>
    <row r="32" spans="1:16" x14ac:dyDescent="0.2">
      <c r="A32" s="7" t="s">
        <v>675</v>
      </c>
      <c r="B32" t="s">
        <v>148</v>
      </c>
      <c r="C32" s="7" t="s">
        <v>659</v>
      </c>
      <c r="D32" s="7" t="s">
        <v>538</v>
      </c>
      <c r="E32" s="7" t="s">
        <v>662</v>
      </c>
      <c r="F32" s="7" t="s">
        <v>664</v>
      </c>
      <c r="G32" s="7" t="s">
        <v>386</v>
      </c>
      <c r="H32" s="22" t="s">
        <v>669</v>
      </c>
      <c r="I32" s="33">
        <v>5</v>
      </c>
      <c r="J32" s="33">
        <v>15</v>
      </c>
      <c r="K32" s="33"/>
      <c r="L32" s="31">
        <v>50</v>
      </c>
      <c r="M32" s="33">
        <v>6</v>
      </c>
      <c r="N32" s="33" t="s">
        <v>148</v>
      </c>
      <c r="O32" s="33" t="s">
        <v>148</v>
      </c>
      <c r="P32" s="22" t="s">
        <v>673</v>
      </c>
    </row>
    <row r="33" spans="1:16" x14ac:dyDescent="0.2">
      <c r="A33" s="7" t="s">
        <v>675</v>
      </c>
      <c r="B33" t="s">
        <v>148</v>
      </c>
      <c r="C33" s="7" t="s">
        <v>660</v>
      </c>
      <c r="D33" s="7" t="s">
        <v>362</v>
      </c>
      <c r="E33" s="7" t="s">
        <v>663</v>
      </c>
      <c r="F33" s="7" t="s">
        <v>664</v>
      </c>
      <c r="G33" s="7" t="s">
        <v>386</v>
      </c>
      <c r="H33" s="22" t="s">
        <v>670</v>
      </c>
      <c r="I33" s="33">
        <v>5</v>
      </c>
      <c r="J33" s="33">
        <v>10</v>
      </c>
      <c r="K33" s="33"/>
      <c r="L33" s="31">
        <v>50</v>
      </c>
      <c r="M33" s="33">
        <v>6</v>
      </c>
      <c r="N33" s="33" t="s">
        <v>148</v>
      </c>
      <c r="O33" s="33" t="s">
        <v>148</v>
      </c>
      <c r="P33" s="22" t="s">
        <v>674</v>
      </c>
    </row>
    <row r="34" spans="1:16" x14ac:dyDescent="0.2">
      <c r="A34" s="46" t="s">
        <v>387</v>
      </c>
      <c r="B34" s="45"/>
      <c r="C34" s="46" t="s">
        <v>499</v>
      </c>
      <c r="D34" s="46" t="s">
        <v>500</v>
      </c>
      <c r="E34" s="45" t="s">
        <v>498</v>
      </c>
      <c r="F34" s="46" t="s">
        <v>387</v>
      </c>
      <c r="G34" s="45" t="s">
        <v>131</v>
      </c>
      <c r="H34" s="52"/>
      <c r="I34" s="51">
        <v>5</v>
      </c>
      <c r="J34" s="51">
        <v>10</v>
      </c>
      <c r="K34" s="51"/>
      <c r="L34" s="49">
        <v>50</v>
      </c>
      <c r="M34" s="51">
        <v>6</v>
      </c>
      <c r="N34" s="51" t="s">
        <v>148</v>
      </c>
      <c r="O34" s="51"/>
      <c r="P34" s="52"/>
    </row>
    <row r="35" spans="1:16" x14ac:dyDescent="0.2">
      <c r="A35" s="7" t="s">
        <v>387</v>
      </c>
      <c r="B35" t="s">
        <v>148</v>
      </c>
      <c r="C35" t="s">
        <v>450</v>
      </c>
      <c r="D35" t="s">
        <v>501</v>
      </c>
      <c r="E35" t="s">
        <v>366</v>
      </c>
      <c r="F35" s="7" t="s">
        <v>387</v>
      </c>
      <c r="G35" t="s">
        <v>131</v>
      </c>
      <c r="H35" s="28" t="s">
        <v>367</v>
      </c>
      <c r="I35" s="33" t="s">
        <v>626</v>
      </c>
      <c r="J35" s="33" t="s">
        <v>554</v>
      </c>
      <c r="K35" s="33" t="s">
        <v>505</v>
      </c>
      <c r="L35" s="31">
        <v>50</v>
      </c>
      <c r="M35" s="33">
        <v>3</v>
      </c>
      <c r="N35" s="33" t="s">
        <v>148</v>
      </c>
      <c r="O35" s="33"/>
    </row>
    <row r="36" spans="1:16" x14ac:dyDescent="0.2">
      <c r="A36" s="7" t="s">
        <v>387</v>
      </c>
      <c r="B36" t="s">
        <v>148</v>
      </c>
      <c r="C36" t="s">
        <v>368</v>
      </c>
      <c r="D36" t="s">
        <v>504</v>
      </c>
      <c r="E36" t="s">
        <v>369</v>
      </c>
      <c r="F36" s="7" t="s">
        <v>387</v>
      </c>
      <c r="G36" t="s">
        <v>131</v>
      </c>
      <c r="H36" s="28" t="s">
        <v>370</v>
      </c>
      <c r="I36" s="33" t="s">
        <v>626</v>
      </c>
      <c r="J36" s="33" t="s">
        <v>554</v>
      </c>
      <c r="K36" s="33" t="s">
        <v>505</v>
      </c>
      <c r="L36" s="31">
        <v>50</v>
      </c>
      <c r="M36" s="33">
        <v>3</v>
      </c>
      <c r="N36" s="33" t="s">
        <v>148</v>
      </c>
      <c r="O36" s="33"/>
    </row>
    <row r="37" spans="1:16" x14ac:dyDescent="0.2">
      <c r="A37" s="7" t="s">
        <v>387</v>
      </c>
      <c r="B37" t="s">
        <v>148</v>
      </c>
      <c r="C37" t="s">
        <v>371</v>
      </c>
      <c r="D37" t="s">
        <v>371</v>
      </c>
      <c r="E37" t="s">
        <v>372</v>
      </c>
      <c r="F37" s="7" t="s">
        <v>387</v>
      </c>
      <c r="G37" t="s">
        <v>131</v>
      </c>
      <c r="H37" s="28" t="s">
        <v>373</v>
      </c>
      <c r="I37" s="33" t="s">
        <v>626</v>
      </c>
      <c r="J37" s="33" t="s">
        <v>554</v>
      </c>
      <c r="K37" s="33" t="s">
        <v>505</v>
      </c>
      <c r="L37" s="31">
        <v>50</v>
      </c>
      <c r="M37" s="33">
        <v>3</v>
      </c>
      <c r="N37" s="33" t="s">
        <v>148</v>
      </c>
      <c r="O37" s="33"/>
    </row>
    <row r="38" spans="1:16" x14ac:dyDescent="0.2">
      <c r="A38" s="7" t="s">
        <v>387</v>
      </c>
      <c r="B38" t="s">
        <v>148</v>
      </c>
      <c r="C38" t="s">
        <v>451</v>
      </c>
      <c r="D38" t="s">
        <v>502</v>
      </c>
      <c r="E38" t="s">
        <v>374</v>
      </c>
      <c r="F38" s="7" t="s">
        <v>387</v>
      </c>
      <c r="G38" t="s">
        <v>131</v>
      </c>
      <c r="H38" s="28" t="s">
        <v>375</v>
      </c>
      <c r="I38" s="33" t="s">
        <v>626</v>
      </c>
      <c r="J38" s="33" t="s">
        <v>554</v>
      </c>
      <c r="K38" s="33" t="s">
        <v>505</v>
      </c>
      <c r="L38" s="31">
        <v>50</v>
      </c>
      <c r="M38" s="33">
        <v>3</v>
      </c>
      <c r="N38" s="33" t="s">
        <v>148</v>
      </c>
      <c r="O38" s="33"/>
    </row>
    <row r="39" spans="1:16" x14ac:dyDescent="0.2">
      <c r="A39" s="7" t="s">
        <v>387</v>
      </c>
      <c r="B39" t="s">
        <v>148</v>
      </c>
      <c r="C39" t="s">
        <v>452</v>
      </c>
      <c r="D39" t="s">
        <v>503</v>
      </c>
      <c r="E39" t="s">
        <v>376</v>
      </c>
      <c r="F39" s="7" t="s">
        <v>387</v>
      </c>
      <c r="G39" t="s">
        <v>131</v>
      </c>
      <c r="H39" s="28" t="s">
        <v>377</v>
      </c>
      <c r="I39" s="33" t="s">
        <v>626</v>
      </c>
      <c r="J39" s="33" t="s">
        <v>554</v>
      </c>
      <c r="K39" s="33" t="s">
        <v>505</v>
      </c>
      <c r="L39" s="31">
        <v>50</v>
      </c>
      <c r="M39" s="33">
        <v>3</v>
      </c>
      <c r="N39" s="33" t="s">
        <v>148</v>
      </c>
      <c r="O39" s="33"/>
    </row>
    <row r="40" spans="1:16" x14ac:dyDescent="0.2">
      <c r="A40" s="7" t="s">
        <v>387</v>
      </c>
      <c r="B40" t="s">
        <v>148</v>
      </c>
      <c r="C40" t="s">
        <v>378</v>
      </c>
      <c r="D40" t="s">
        <v>505</v>
      </c>
      <c r="E40" t="s">
        <v>379</v>
      </c>
      <c r="F40" s="7" t="s">
        <v>387</v>
      </c>
      <c r="G40" t="s">
        <v>131</v>
      </c>
      <c r="H40" s="28" t="s">
        <v>380</v>
      </c>
      <c r="I40" s="33" t="s">
        <v>626</v>
      </c>
      <c r="J40" s="33" t="s">
        <v>554</v>
      </c>
      <c r="K40" s="33" t="s">
        <v>505</v>
      </c>
      <c r="L40" s="31">
        <v>50</v>
      </c>
      <c r="M40" s="33">
        <v>3</v>
      </c>
      <c r="N40" s="33" t="s">
        <v>148</v>
      </c>
      <c r="O40" s="33"/>
    </row>
    <row r="41" spans="1:16" x14ac:dyDescent="0.2">
      <c r="A41" s="7" t="s">
        <v>454</v>
      </c>
      <c r="B41" t="s">
        <v>148</v>
      </c>
      <c r="C41" s="7" t="s">
        <v>514</v>
      </c>
      <c r="D41" s="7"/>
      <c r="E41" t="s">
        <v>520</v>
      </c>
      <c r="F41" s="7" t="s">
        <v>454</v>
      </c>
      <c r="G41" s="7" t="s">
        <v>449</v>
      </c>
      <c r="H41" s="28" t="s">
        <v>525</v>
      </c>
      <c r="I41" s="31">
        <v>13</v>
      </c>
      <c r="L41" s="31">
        <v>30</v>
      </c>
      <c r="M41" s="33">
        <v>6</v>
      </c>
      <c r="N41" s="33"/>
      <c r="O41" s="33"/>
      <c r="P41" s="22" t="s">
        <v>531</v>
      </c>
    </row>
    <row r="42" spans="1:16" x14ac:dyDescent="0.2">
      <c r="A42" s="7" t="s">
        <v>454</v>
      </c>
      <c r="B42" t="s">
        <v>148</v>
      </c>
      <c r="C42" s="7" t="s">
        <v>515</v>
      </c>
      <c r="D42" s="7"/>
      <c r="E42" t="s">
        <v>515</v>
      </c>
      <c r="F42" s="7" t="s">
        <v>454</v>
      </c>
      <c r="G42" s="7" t="s">
        <v>449</v>
      </c>
      <c r="H42" s="28" t="s">
        <v>526</v>
      </c>
      <c r="I42" s="31">
        <v>13</v>
      </c>
      <c r="L42" s="31">
        <v>30</v>
      </c>
      <c r="M42" s="33">
        <v>6</v>
      </c>
      <c r="N42" s="33"/>
      <c r="O42" s="33"/>
      <c r="P42" s="22" t="s">
        <v>531</v>
      </c>
    </row>
    <row r="43" spans="1:16" x14ac:dyDescent="0.2">
      <c r="A43" s="7" t="s">
        <v>454</v>
      </c>
      <c r="B43" t="s">
        <v>148</v>
      </c>
      <c r="C43" s="7" t="s">
        <v>516</v>
      </c>
      <c r="D43" s="7"/>
      <c r="E43" t="s">
        <v>521</v>
      </c>
      <c r="F43" s="7" t="s">
        <v>454</v>
      </c>
      <c r="G43" s="7" t="s">
        <v>449</v>
      </c>
      <c r="H43" s="28" t="s">
        <v>527</v>
      </c>
      <c r="I43" s="31">
        <v>13</v>
      </c>
      <c r="L43" s="31">
        <v>30</v>
      </c>
      <c r="M43" s="33">
        <v>6</v>
      </c>
      <c r="N43" s="33"/>
      <c r="O43" s="33"/>
      <c r="P43" s="22" t="s">
        <v>531</v>
      </c>
    </row>
    <row r="44" spans="1:16" x14ac:dyDescent="0.2">
      <c r="A44" s="7" t="s">
        <v>454</v>
      </c>
      <c r="B44" t="s">
        <v>148</v>
      </c>
      <c r="C44" s="7" t="s">
        <v>517</v>
      </c>
      <c r="D44" s="7"/>
      <c r="E44" t="s">
        <v>522</v>
      </c>
      <c r="F44" s="7" t="s">
        <v>454</v>
      </c>
      <c r="G44" s="7" t="s">
        <v>449</v>
      </c>
      <c r="H44" s="28" t="s">
        <v>528</v>
      </c>
      <c r="I44" s="31">
        <v>13</v>
      </c>
      <c r="L44" s="31">
        <v>30</v>
      </c>
      <c r="M44" s="33">
        <v>6</v>
      </c>
      <c r="N44" s="33"/>
      <c r="O44" s="33"/>
      <c r="P44" s="22" t="s">
        <v>532</v>
      </c>
    </row>
    <row r="45" spans="1:16" x14ac:dyDescent="0.2">
      <c r="A45" s="7" t="s">
        <v>454</v>
      </c>
      <c r="B45" t="s">
        <v>148</v>
      </c>
      <c r="C45" s="7" t="s">
        <v>518</v>
      </c>
      <c r="D45" s="7"/>
      <c r="E45" t="s">
        <v>523</v>
      </c>
      <c r="F45" s="7" t="s">
        <v>454</v>
      </c>
      <c r="G45" s="7" t="s">
        <v>449</v>
      </c>
      <c r="H45" s="28" t="s">
        <v>529</v>
      </c>
      <c r="I45" s="31">
        <v>13</v>
      </c>
      <c r="L45" s="31">
        <v>30</v>
      </c>
      <c r="M45" s="33">
        <v>6</v>
      </c>
      <c r="N45" s="33"/>
      <c r="O45" s="33"/>
      <c r="P45" s="22" t="s">
        <v>533</v>
      </c>
    </row>
    <row r="46" spans="1:16" x14ac:dyDescent="0.2">
      <c r="A46" s="7" t="s">
        <v>454</v>
      </c>
      <c r="B46" t="s">
        <v>148</v>
      </c>
      <c r="C46" s="7" t="s">
        <v>519</v>
      </c>
      <c r="D46" s="7"/>
      <c r="E46" t="s">
        <v>524</v>
      </c>
      <c r="F46" s="7" t="s">
        <v>454</v>
      </c>
      <c r="G46" s="7" t="s">
        <v>449</v>
      </c>
      <c r="H46" s="28" t="s">
        <v>530</v>
      </c>
      <c r="I46" s="31">
        <v>8</v>
      </c>
      <c r="L46" s="31">
        <v>30</v>
      </c>
      <c r="M46" s="33">
        <v>6</v>
      </c>
      <c r="N46" s="33"/>
      <c r="O46" s="33"/>
      <c r="P46" s="22" t="s">
        <v>534</v>
      </c>
    </row>
    <row r="190" spans="3:3" x14ac:dyDescent="0.2">
      <c r="C190" t="s">
        <v>119</v>
      </c>
    </row>
  </sheetData>
  <autoFilter ref="A2:P46" xr:uid="{0FD4A2DC-F578-4C05-9B28-40AE2A56A085}"/>
  <mergeCells count="1">
    <mergeCell ref="I1:K1"/>
  </mergeCells>
  <phoneticPr fontId="9" type="noConversion"/>
  <dataValidations count="1">
    <dataValidation type="list" allowBlank="1" showInputMessage="1" showErrorMessage="1" sqref="I3:K46" xr:uid="{9D852056-04D1-4DA2-ADB2-0CCF40DB7E4C}">
      <formula1>INDIRECT("TableDepths[Depths]")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ED8FC-F77B-45C7-9010-200AC823BA74}">
  <sheetPr codeName="Sheet3"/>
  <dimension ref="A1:C53"/>
  <sheetViews>
    <sheetView tabSelected="1" topLeftCell="A18" workbookViewId="0">
      <selection activeCell="C53" sqref="C53"/>
    </sheetView>
  </sheetViews>
  <sheetFormatPr defaultRowHeight="12.75" x14ac:dyDescent="0.2"/>
  <cols>
    <col min="1" max="1" width="21.42578125" customWidth="1"/>
    <col min="2" max="2" width="9.140625" style="10"/>
  </cols>
  <sheetData>
    <row r="1" spans="1:3" x14ac:dyDescent="0.2">
      <c r="A1" s="6" t="s">
        <v>389</v>
      </c>
      <c r="B1" s="11" t="s">
        <v>395</v>
      </c>
    </row>
    <row r="2" spans="1:3" x14ac:dyDescent="0.2">
      <c r="A2" s="7" t="s">
        <v>393</v>
      </c>
      <c r="B2" s="7" t="s">
        <v>388</v>
      </c>
      <c r="C2" t="s">
        <v>495</v>
      </c>
    </row>
    <row r="6" spans="1:3" x14ac:dyDescent="0.2">
      <c r="A6" s="6" t="s">
        <v>394</v>
      </c>
    </row>
    <row r="7" spans="1:3" x14ac:dyDescent="0.2">
      <c r="A7" s="7" t="s">
        <v>390</v>
      </c>
      <c r="B7" s="10">
        <f ca="1">YEAR(TODAY())</f>
        <v>2024</v>
      </c>
      <c r="C7" t="s">
        <v>445</v>
      </c>
    </row>
    <row r="8" spans="1:3" x14ac:dyDescent="0.2">
      <c r="A8" s="7" t="s">
        <v>396</v>
      </c>
      <c r="B8" s="10" t="str">
        <f>VLOOKUP(B2,SiteInfo,7,)</f>
        <v>HN</v>
      </c>
      <c r="C8" t="s">
        <v>446</v>
      </c>
    </row>
    <row r="11" spans="1:3" x14ac:dyDescent="0.2">
      <c r="A11" s="6" t="s">
        <v>630</v>
      </c>
      <c r="B11" s="11" t="s">
        <v>642</v>
      </c>
    </row>
    <row r="12" spans="1:3" x14ac:dyDescent="0.2">
      <c r="A12" s="7" t="s">
        <v>644</v>
      </c>
      <c r="B12" s="37">
        <v>0</v>
      </c>
    </row>
    <row r="13" spans="1:3" x14ac:dyDescent="0.2">
      <c r="A13" s="7" t="s">
        <v>631</v>
      </c>
      <c r="B13" s="37">
        <v>0</v>
      </c>
    </row>
    <row r="14" spans="1:3" x14ac:dyDescent="0.2">
      <c r="A14" s="7" t="s">
        <v>645</v>
      </c>
      <c r="B14" s="37">
        <v>0</v>
      </c>
    </row>
    <row r="15" spans="1:3" x14ac:dyDescent="0.2">
      <c r="A15" s="7" t="s">
        <v>632</v>
      </c>
      <c r="B15" s="37">
        <v>0.4</v>
      </c>
    </row>
    <row r="16" spans="1:3" x14ac:dyDescent="0.2">
      <c r="A16" s="7" t="s">
        <v>633</v>
      </c>
      <c r="B16" s="37">
        <v>0.4</v>
      </c>
    </row>
    <row r="17" spans="1:2" x14ac:dyDescent="0.2">
      <c r="A17" s="7" t="s">
        <v>634</v>
      </c>
      <c r="B17" s="37">
        <v>0.75</v>
      </c>
    </row>
    <row r="18" spans="1:2" x14ac:dyDescent="0.2">
      <c r="A18" s="7" t="s">
        <v>635</v>
      </c>
      <c r="B18" s="37">
        <v>1</v>
      </c>
    </row>
    <row r="19" spans="1:2" x14ac:dyDescent="0.2">
      <c r="A19" s="7"/>
    </row>
    <row r="20" spans="1:2" x14ac:dyDescent="0.2">
      <c r="A20" s="7"/>
    </row>
    <row r="21" spans="1:2" x14ac:dyDescent="0.2">
      <c r="A21" s="6" t="s">
        <v>636</v>
      </c>
      <c r="B21" s="11" t="s">
        <v>643</v>
      </c>
    </row>
    <row r="22" spans="1:2" x14ac:dyDescent="0.2">
      <c r="A22" s="7" t="s">
        <v>644</v>
      </c>
      <c r="B22" s="37">
        <v>0</v>
      </c>
    </row>
    <row r="23" spans="1:2" x14ac:dyDescent="0.2">
      <c r="A23" s="7" t="s">
        <v>631</v>
      </c>
      <c r="B23" s="37">
        <v>0</v>
      </c>
    </row>
    <row r="24" spans="1:2" x14ac:dyDescent="0.2">
      <c r="A24" s="7" t="s">
        <v>645</v>
      </c>
      <c r="B24" s="37">
        <v>0</v>
      </c>
    </row>
    <row r="25" spans="1:2" x14ac:dyDescent="0.2">
      <c r="A25" s="7" t="s">
        <v>633</v>
      </c>
      <c r="B25" s="37">
        <v>0.5</v>
      </c>
    </row>
    <row r="26" spans="1:2" x14ac:dyDescent="0.2">
      <c r="A26" s="7" t="s">
        <v>637</v>
      </c>
      <c r="B26" s="37">
        <v>0.5</v>
      </c>
    </row>
    <row r="27" spans="1:2" x14ac:dyDescent="0.2">
      <c r="A27" s="7" t="s">
        <v>638</v>
      </c>
      <c r="B27" s="37">
        <v>0.7</v>
      </c>
    </row>
    <row r="28" spans="1:2" x14ac:dyDescent="0.2">
      <c r="A28" s="7" t="s">
        <v>635</v>
      </c>
      <c r="B28" s="37">
        <v>1</v>
      </c>
    </row>
    <row r="31" spans="1:2" x14ac:dyDescent="0.2">
      <c r="A31" s="7" t="s">
        <v>639</v>
      </c>
    </row>
    <row r="33" spans="1:1" x14ac:dyDescent="0.2">
      <c r="A33" s="35">
        <v>1</v>
      </c>
    </row>
    <row r="34" spans="1:1" x14ac:dyDescent="0.2">
      <c r="A34" s="35">
        <v>2</v>
      </c>
    </row>
    <row r="35" spans="1:1" x14ac:dyDescent="0.2">
      <c r="A35" s="35">
        <v>3</v>
      </c>
    </row>
    <row r="36" spans="1:1" x14ac:dyDescent="0.2">
      <c r="A36" s="35">
        <v>4</v>
      </c>
    </row>
    <row r="37" spans="1:1" x14ac:dyDescent="0.2">
      <c r="A37" s="35">
        <v>5</v>
      </c>
    </row>
    <row r="38" spans="1:1" x14ac:dyDescent="0.2">
      <c r="A38" s="35">
        <v>6</v>
      </c>
    </row>
    <row r="39" spans="1:1" x14ac:dyDescent="0.2">
      <c r="A39" s="35">
        <v>7</v>
      </c>
    </row>
    <row r="40" spans="1:1" x14ac:dyDescent="0.2">
      <c r="A40" s="35">
        <v>8</v>
      </c>
    </row>
    <row r="41" spans="1:1" x14ac:dyDescent="0.2">
      <c r="A41" s="35">
        <v>9</v>
      </c>
    </row>
    <row r="42" spans="1:1" x14ac:dyDescent="0.2">
      <c r="A42" s="35">
        <v>10</v>
      </c>
    </row>
    <row r="43" spans="1:1" x14ac:dyDescent="0.2">
      <c r="A43" s="35">
        <v>11</v>
      </c>
    </row>
    <row r="44" spans="1:1" x14ac:dyDescent="0.2">
      <c r="A44" s="35">
        <v>12</v>
      </c>
    </row>
    <row r="45" spans="1:1" x14ac:dyDescent="0.2">
      <c r="A45" s="35">
        <v>13</v>
      </c>
    </row>
    <row r="46" spans="1:1" x14ac:dyDescent="0.2">
      <c r="A46" s="35">
        <v>14</v>
      </c>
    </row>
    <row r="47" spans="1:1" x14ac:dyDescent="0.2">
      <c r="A47" s="35">
        <v>15</v>
      </c>
    </row>
    <row r="48" spans="1:1" x14ac:dyDescent="0.2">
      <c r="A48" s="35">
        <v>16</v>
      </c>
    </row>
    <row r="49" spans="1:3" x14ac:dyDescent="0.2">
      <c r="A49" s="35">
        <v>17</v>
      </c>
    </row>
    <row r="50" spans="1:3" x14ac:dyDescent="0.2">
      <c r="A50" s="35">
        <v>18</v>
      </c>
    </row>
    <row r="51" spans="1:3" x14ac:dyDescent="0.2">
      <c r="A51" s="36" t="s">
        <v>626</v>
      </c>
      <c r="C51" t="s">
        <v>690</v>
      </c>
    </row>
    <row r="52" spans="1:3" x14ac:dyDescent="0.2">
      <c r="A52" s="36" t="s">
        <v>554</v>
      </c>
      <c r="C52" t="s">
        <v>691</v>
      </c>
    </row>
    <row r="53" spans="1:3" x14ac:dyDescent="0.2">
      <c r="A53" s="36" t="s">
        <v>505</v>
      </c>
      <c r="C53" t="s">
        <v>692</v>
      </c>
    </row>
  </sheetData>
  <pageMargins left="0.7" right="0.7" top="0.75" bottom="0.75" header="0.3" footer="0.3"/>
  <pageSetup paperSize="9" orientation="portrait"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B85CA-9459-4771-B6E2-7B601052A3D4}">
  <sheetPr codeName="Sheet7"/>
  <dimension ref="A1:A332"/>
  <sheetViews>
    <sheetView topLeftCell="A7" workbookViewId="0">
      <selection activeCell="A7" sqref="A7:A30"/>
    </sheetView>
  </sheetViews>
  <sheetFormatPr defaultRowHeight="12.75" x14ac:dyDescent="0.2"/>
  <sheetData>
    <row r="1" spans="1:1" x14ac:dyDescent="0.2">
      <c r="A1" s="7" t="s">
        <v>479</v>
      </c>
    </row>
    <row r="2" spans="1:1" x14ac:dyDescent="0.2">
      <c r="A2" s="7" t="s">
        <v>480</v>
      </c>
    </row>
    <row r="3" spans="1:1" x14ac:dyDescent="0.2">
      <c r="A3" s="7" t="s">
        <v>481</v>
      </c>
    </row>
    <row r="4" spans="1:1" x14ac:dyDescent="0.2">
      <c r="A4" s="7"/>
    </row>
    <row r="6" spans="1:1" x14ac:dyDescent="0.2">
      <c r="A6" s="7" t="s">
        <v>420</v>
      </c>
    </row>
    <row r="7" spans="1:1" x14ac:dyDescent="0.2">
      <c r="A7" s="7" t="s">
        <v>252</v>
      </c>
    </row>
    <row r="8" spans="1:1" x14ac:dyDescent="0.2">
      <c r="A8" s="7" t="s">
        <v>12</v>
      </c>
    </row>
    <row r="9" spans="1:1" x14ac:dyDescent="0.2">
      <c r="A9" t="s">
        <v>13</v>
      </c>
    </row>
    <row r="10" spans="1:1" x14ac:dyDescent="0.2">
      <c r="A10" s="7" t="s">
        <v>9</v>
      </c>
    </row>
    <row r="11" spans="1:1" x14ac:dyDescent="0.2">
      <c r="A11" s="7" t="s">
        <v>253</v>
      </c>
    </row>
    <row r="12" spans="1:1" x14ac:dyDescent="0.2">
      <c r="A12" t="s">
        <v>10</v>
      </c>
    </row>
    <row r="13" spans="1:1" x14ac:dyDescent="0.2">
      <c r="A13" t="s">
        <v>255</v>
      </c>
    </row>
    <row r="14" spans="1:1" x14ac:dyDescent="0.2">
      <c r="A14" t="s">
        <v>156</v>
      </c>
    </row>
    <row r="15" spans="1:1" x14ac:dyDescent="0.2">
      <c r="A15" t="s">
        <v>14</v>
      </c>
    </row>
    <row r="16" spans="1:1" x14ac:dyDescent="0.2">
      <c r="A16" t="s">
        <v>157</v>
      </c>
    </row>
    <row r="17" spans="1:1" x14ac:dyDescent="0.2">
      <c r="A17" t="s">
        <v>144</v>
      </c>
    </row>
    <row r="18" spans="1:1" x14ac:dyDescent="0.2">
      <c r="A18" t="s">
        <v>256</v>
      </c>
    </row>
    <row r="19" spans="1:1" x14ac:dyDescent="0.2">
      <c r="A19" t="s">
        <v>49</v>
      </c>
    </row>
    <row r="20" spans="1:1" x14ac:dyDescent="0.2">
      <c r="A20" t="s">
        <v>257</v>
      </c>
    </row>
    <row r="21" spans="1:1" x14ac:dyDescent="0.2">
      <c r="A21" t="s">
        <v>8</v>
      </c>
    </row>
    <row r="22" spans="1:1" x14ac:dyDescent="0.2">
      <c r="A22" t="s">
        <v>258</v>
      </c>
    </row>
    <row r="23" spans="1:1" x14ac:dyDescent="0.2">
      <c r="A23" t="s">
        <v>259</v>
      </c>
    </row>
    <row r="24" spans="1:1" x14ac:dyDescent="0.2">
      <c r="A24" t="s">
        <v>260</v>
      </c>
    </row>
    <row r="25" spans="1:1" x14ac:dyDescent="0.2">
      <c r="A25" t="s">
        <v>262</v>
      </c>
    </row>
    <row r="26" spans="1:1" x14ac:dyDescent="0.2">
      <c r="A26" t="s">
        <v>263</v>
      </c>
    </row>
    <row r="27" spans="1:1" x14ac:dyDescent="0.2">
      <c r="A27" t="s">
        <v>264</v>
      </c>
    </row>
    <row r="28" spans="1:1" x14ac:dyDescent="0.2">
      <c r="A28" t="s">
        <v>265</v>
      </c>
    </row>
    <row r="29" spans="1:1" x14ac:dyDescent="0.2">
      <c r="A29" t="s">
        <v>266</v>
      </c>
    </row>
    <row r="30" spans="1:1" x14ac:dyDescent="0.2">
      <c r="A30" t="s">
        <v>267</v>
      </c>
    </row>
    <row r="32" spans="1:1" x14ac:dyDescent="0.2">
      <c r="A32" t="s">
        <v>455</v>
      </c>
    </row>
    <row r="34" spans="1:1" x14ac:dyDescent="0.2">
      <c r="A34" t="s">
        <v>456</v>
      </c>
    </row>
    <row r="35" spans="1:1" x14ac:dyDescent="0.2">
      <c r="A35" t="s">
        <v>276</v>
      </c>
    </row>
    <row r="36" spans="1:1" x14ac:dyDescent="0.2">
      <c r="A36" t="s">
        <v>277</v>
      </c>
    </row>
    <row r="38" spans="1:1" x14ac:dyDescent="0.2">
      <c r="A38" t="s">
        <v>457</v>
      </c>
    </row>
    <row r="40" spans="1:1" x14ac:dyDescent="0.2">
      <c r="A40" t="s">
        <v>458</v>
      </c>
    </row>
    <row r="42" spans="1:1" x14ac:dyDescent="0.2">
      <c r="A42" t="s">
        <v>459</v>
      </c>
    </row>
    <row r="44" spans="1:1" x14ac:dyDescent="0.2">
      <c r="A44" t="s">
        <v>460</v>
      </c>
    </row>
    <row r="46" spans="1:1" x14ac:dyDescent="0.2">
      <c r="A46" t="s">
        <v>461</v>
      </c>
    </row>
    <row r="47" spans="1:1" x14ac:dyDescent="0.2">
      <c r="A47" t="s">
        <v>60</v>
      </c>
    </row>
    <row r="49" spans="1:1" x14ac:dyDescent="0.2">
      <c r="A49" t="s">
        <v>462</v>
      </c>
    </row>
    <row r="50" spans="1:1" x14ac:dyDescent="0.2">
      <c r="A50" t="s">
        <v>57</v>
      </c>
    </row>
    <row r="51" spans="1:1" x14ac:dyDescent="0.2">
      <c r="A51" t="s">
        <v>60</v>
      </c>
    </row>
    <row r="52" spans="1:1" x14ac:dyDescent="0.2">
      <c r="A52" t="s">
        <v>67</v>
      </c>
    </row>
    <row r="53" spans="1:1" x14ac:dyDescent="0.2">
      <c r="A53" t="s">
        <v>69</v>
      </c>
    </row>
    <row r="54" spans="1:1" x14ac:dyDescent="0.2">
      <c r="A54" t="s">
        <v>71</v>
      </c>
    </row>
    <row r="55" spans="1:1" x14ac:dyDescent="0.2">
      <c r="A55" t="s">
        <v>73</v>
      </c>
    </row>
    <row r="56" spans="1:1" x14ac:dyDescent="0.2">
      <c r="A56" t="s">
        <v>75</v>
      </c>
    </row>
    <row r="57" spans="1:1" x14ac:dyDescent="0.2">
      <c r="A57" t="s">
        <v>77</v>
      </c>
    </row>
    <row r="58" spans="1:1" x14ac:dyDescent="0.2">
      <c r="A58" t="s">
        <v>79</v>
      </c>
    </row>
    <row r="59" spans="1:1" x14ac:dyDescent="0.2">
      <c r="A59" t="s">
        <v>81</v>
      </c>
    </row>
    <row r="60" spans="1:1" x14ac:dyDescent="0.2">
      <c r="A60" t="s">
        <v>85</v>
      </c>
    </row>
    <row r="61" spans="1:1" x14ac:dyDescent="0.2">
      <c r="A61" t="s">
        <v>83</v>
      </c>
    </row>
    <row r="62" spans="1:1" x14ac:dyDescent="0.2">
      <c r="A62" t="s">
        <v>88</v>
      </c>
    </row>
    <row r="63" spans="1:1" x14ac:dyDescent="0.2">
      <c r="A63" t="s">
        <v>89</v>
      </c>
    </row>
    <row r="64" spans="1:1" x14ac:dyDescent="0.2">
      <c r="A64" t="s">
        <v>93</v>
      </c>
    </row>
    <row r="65" spans="1:1" x14ac:dyDescent="0.2">
      <c r="A65" t="s">
        <v>95</v>
      </c>
    </row>
    <row r="66" spans="1:1" x14ac:dyDescent="0.2">
      <c r="A66" t="s">
        <v>104</v>
      </c>
    </row>
    <row r="67" spans="1:1" x14ac:dyDescent="0.2">
      <c r="A67" t="s">
        <v>100</v>
      </c>
    </row>
    <row r="68" spans="1:1" x14ac:dyDescent="0.2">
      <c r="A68" t="s">
        <v>102</v>
      </c>
    </row>
    <row r="70" spans="1:1" x14ac:dyDescent="0.2">
      <c r="A70" t="s">
        <v>463</v>
      </c>
    </row>
    <row r="71" spans="1:1" x14ac:dyDescent="0.2">
      <c r="A71" t="s">
        <v>589</v>
      </c>
    </row>
    <row r="73" spans="1:1" x14ac:dyDescent="0.2">
      <c r="A73" t="s">
        <v>464</v>
      </c>
    </row>
    <row r="74" spans="1:1" x14ac:dyDescent="0.2">
      <c r="A74" t="s">
        <v>248</v>
      </c>
    </row>
    <row r="75" spans="1:1" x14ac:dyDescent="0.2">
      <c r="A75" t="s">
        <v>113</v>
      </c>
    </row>
    <row r="76" spans="1:1" x14ac:dyDescent="0.2">
      <c r="A76" t="s">
        <v>114</v>
      </c>
    </row>
    <row r="77" spans="1:1" x14ac:dyDescent="0.2">
      <c r="A77" t="s">
        <v>249</v>
      </c>
    </row>
    <row r="78" spans="1:1" x14ac:dyDescent="0.2">
      <c r="A78" t="s">
        <v>112</v>
      </c>
    </row>
    <row r="79" spans="1:1" x14ac:dyDescent="0.2">
      <c r="A79" t="s">
        <v>115</v>
      </c>
    </row>
    <row r="80" spans="1:1" x14ac:dyDescent="0.2">
      <c r="A80" t="s">
        <v>250</v>
      </c>
    </row>
    <row r="81" spans="1:1" x14ac:dyDescent="0.2">
      <c r="A81" t="s">
        <v>116</v>
      </c>
    </row>
    <row r="82" spans="1:1" x14ac:dyDescent="0.2">
      <c r="A82" t="s">
        <v>117</v>
      </c>
    </row>
    <row r="83" spans="1:1" x14ac:dyDescent="0.2">
      <c r="A83" t="s">
        <v>107</v>
      </c>
    </row>
    <row r="84" spans="1:1" x14ac:dyDescent="0.2">
      <c r="A84" t="s">
        <v>118</v>
      </c>
    </row>
    <row r="85" spans="1:1" x14ac:dyDescent="0.2">
      <c r="A85" t="s">
        <v>119</v>
      </c>
    </row>
    <row r="86" spans="1:1" x14ac:dyDescent="0.2">
      <c r="A86" t="s">
        <v>120</v>
      </c>
    </row>
    <row r="87" spans="1:1" x14ac:dyDescent="0.2">
      <c r="A87" t="s">
        <v>121</v>
      </c>
    </row>
    <row r="88" spans="1:1" x14ac:dyDescent="0.2">
      <c r="A88" t="s">
        <v>109</v>
      </c>
    </row>
    <row r="89" spans="1:1" x14ac:dyDescent="0.2">
      <c r="A89" t="s">
        <v>110</v>
      </c>
    </row>
    <row r="91" spans="1:1" x14ac:dyDescent="0.2">
      <c r="A91" t="s">
        <v>465</v>
      </c>
    </row>
    <row r="92" spans="1:1" x14ac:dyDescent="0.2">
      <c r="A92" t="s">
        <v>448</v>
      </c>
    </row>
    <row r="93" spans="1:1" x14ac:dyDescent="0.2">
      <c r="A93" t="s">
        <v>147</v>
      </c>
    </row>
    <row r="95" spans="1:1" x14ac:dyDescent="0.2">
      <c r="A95" t="s">
        <v>466</v>
      </c>
    </row>
    <row r="97" spans="1:1" x14ac:dyDescent="0.2">
      <c r="A97" t="s">
        <v>467</v>
      </c>
    </row>
    <row r="99" spans="1:1" x14ac:dyDescent="0.2">
      <c r="A99" t="s">
        <v>468</v>
      </c>
    </row>
    <row r="101" spans="1:1" x14ac:dyDescent="0.2">
      <c r="A101" t="s">
        <v>469</v>
      </c>
    </row>
    <row r="103" spans="1:1" x14ac:dyDescent="0.2">
      <c r="A103" t="s">
        <v>470</v>
      </c>
    </row>
    <row r="105" spans="1:1" x14ac:dyDescent="0.2">
      <c r="A105" t="s">
        <v>471</v>
      </c>
    </row>
    <row r="106" spans="1:1" x14ac:dyDescent="0.2">
      <c r="A106" t="s">
        <v>25</v>
      </c>
    </row>
    <row r="108" spans="1:1" x14ac:dyDescent="0.2">
      <c r="A108" t="s">
        <v>472</v>
      </c>
    </row>
    <row r="110" spans="1:1" x14ac:dyDescent="0.2">
      <c r="A110" t="s">
        <v>473</v>
      </c>
    </row>
    <row r="112" spans="1:1" x14ac:dyDescent="0.2">
      <c r="A112" t="s">
        <v>474</v>
      </c>
    </row>
    <row r="113" spans="1:1" x14ac:dyDescent="0.2">
      <c r="A113" t="s">
        <v>271</v>
      </c>
    </row>
    <row r="114" spans="1:1" x14ac:dyDescent="0.2">
      <c r="A114" t="s">
        <v>559</v>
      </c>
    </row>
    <row r="115" spans="1:1" x14ac:dyDescent="0.2">
      <c r="A115" t="s">
        <v>496</v>
      </c>
    </row>
    <row r="116" spans="1:1" x14ac:dyDescent="0.2">
      <c r="A116" t="s">
        <v>556</v>
      </c>
    </row>
    <row r="117" spans="1:1" x14ac:dyDescent="0.2">
      <c r="A117" t="s">
        <v>557</v>
      </c>
    </row>
    <row r="118" spans="1:1" x14ac:dyDescent="0.2">
      <c r="A118" t="s">
        <v>558</v>
      </c>
    </row>
    <row r="119" spans="1:1" x14ac:dyDescent="0.2">
      <c r="A119" t="s">
        <v>275</v>
      </c>
    </row>
    <row r="121" spans="1:1" x14ac:dyDescent="0.2">
      <c r="A121" t="s">
        <v>475</v>
      </c>
    </row>
    <row r="123" spans="1:1" x14ac:dyDescent="0.2">
      <c r="A123" t="s">
        <v>476</v>
      </c>
    </row>
    <row r="125" spans="1:1" x14ac:dyDescent="0.2">
      <c r="A125" t="s">
        <v>477</v>
      </c>
    </row>
    <row r="127" spans="1:1" x14ac:dyDescent="0.2">
      <c r="A127" t="s">
        <v>478</v>
      </c>
    </row>
    <row r="129" spans="1:1" x14ac:dyDescent="0.2">
      <c r="A129" t="s">
        <v>483</v>
      </c>
    </row>
    <row r="131" spans="1:1" x14ac:dyDescent="0.2">
      <c r="A131" t="s">
        <v>482</v>
      </c>
    </row>
    <row r="133" spans="1:1" x14ac:dyDescent="0.2">
      <c r="A133" t="s">
        <v>590</v>
      </c>
    </row>
    <row r="135" spans="1:1" x14ac:dyDescent="0.2">
      <c r="A135" t="s">
        <v>484</v>
      </c>
    </row>
    <row r="136" spans="1:1" x14ac:dyDescent="0.2">
      <c r="A136" t="s">
        <v>58</v>
      </c>
    </row>
    <row r="137" spans="1:1" x14ac:dyDescent="0.2">
      <c r="A137" t="s">
        <v>59</v>
      </c>
    </row>
    <row r="139" spans="1:1" x14ac:dyDescent="0.2">
      <c r="A139" t="s">
        <v>591</v>
      </c>
    </row>
    <row r="140" spans="1:1" x14ac:dyDescent="0.2">
      <c r="A140" t="s">
        <v>61</v>
      </c>
    </row>
    <row r="141" spans="1:1" x14ac:dyDescent="0.2">
      <c r="A141" t="s">
        <v>62</v>
      </c>
    </row>
    <row r="142" spans="1:1" x14ac:dyDescent="0.2">
      <c r="A142" t="s">
        <v>63</v>
      </c>
    </row>
    <row r="143" spans="1:1" x14ac:dyDescent="0.2">
      <c r="A143" t="s">
        <v>64</v>
      </c>
    </row>
    <row r="144" spans="1:1" x14ac:dyDescent="0.2">
      <c r="A144" t="s">
        <v>65</v>
      </c>
    </row>
    <row r="145" spans="1:1" x14ac:dyDescent="0.2">
      <c r="A145" t="s">
        <v>66</v>
      </c>
    </row>
    <row r="147" spans="1:1" x14ac:dyDescent="0.2">
      <c r="A147" t="s">
        <v>592</v>
      </c>
    </row>
    <row r="148" spans="1:1" x14ac:dyDescent="0.2">
      <c r="A148" t="s">
        <v>68</v>
      </c>
    </row>
    <row r="150" spans="1:1" x14ac:dyDescent="0.2">
      <c r="A150" t="s">
        <v>593</v>
      </c>
    </row>
    <row r="151" spans="1:1" x14ac:dyDescent="0.2">
      <c r="A151" t="s">
        <v>70</v>
      </c>
    </row>
    <row r="153" spans="1:1" x14ac:dyDescent="0.2">
      <c r="A153" t="s">
        <v>594</v>
      </c>
    </row>
    <row r="154" spans="1:1" x14ac:dyDescent="0.2">
      <c r="A154" t="s">
        <v>72</v>
      </c>
    </row>
    <row r="156" spans="1:1" x14ac:dyDescent="0.2">
      <c r="A156" t="s">
        <v>595</v>
      </c>
    </row>
    <row r="157" spans="1:1" x14ac:dyDescent="0.2">
      <c r="A157" t="s">
        <v>74</v>
      </c>
    </row>
    <row r="159" spans="1:1" x14ac:dyDescent="0.2">
      <c r="A159" t="s">
        <v>596</v>
      </c>
    </row>
    <row r="160" spans="1:1" x14ac:dyDescent="0.2">
      <c r="A160" t="s">
        <v>76</v>
      </c>
    </row>
    <row r="162" spans="1:1" x14ac:dyDescent="0.2">
      <c r="A162" t="s">
        <v>485</v>
      </c>
    </row>
    <row r="163" spans="1:1" x14ac:dyDescent="0.2">
      <c r="A163" t="s">
        <v>78</v>
      </c>
    </row>
    <row r="165" spans="1:1" x14ac:dyDescent="0.2">
      <c r="A165" t="s">
        <v>597</v>
      </c>
    </row>
    <row r="166" spans="1:1" x14ac:dyDescent="0.2">
      <c r="A166" t="s">
        <v>80</v>
      </c>
    </row>
    <row r="168" spans="1:1" x14ac:dyDescent="0.2">
      <c r="A168" t="s">
        <v>598</v>
      </c>
    </row>
    <row r="169" spans="1:1" x14ac:dyDescent="0.2">
      <c r="A169" t="s">
        <v>82</v>
      </c>
    </row>
    <row r="171" spans="1:1" x14ac:dyDescent="0.2">
      <c r="A171" t="s">
        <v>599</v>
      </c>
    </row>
    <row r="172" spans="1:1" x14ac:dyDescent="0.2">
      <c r="A172" t="s">
        <v>86</v>
      </c>
    </row>
    <row r="173" spans="1:1" x14ac:dyDescent="0.2">
      <c r="A173" t="s">
        <v>87</v>
      </c>
    </row>
    <row r="175" spans="1:1" x14ac:dyDescent="0.2">
      <c r="A175" t="s">
        <v>600</v>
      </c>
    </row>
    <row r="176" spans="1:1" x14ac:dyDescent="0.2">
      <c r="A176" t="s">
        <v>84</v>
      </c>
    </row>
    <row r="178" spans="1:1" x14ac:dyDescent="0.2">
      <c r="A178" t="s">
        <v>601</v>
      </c>
    </row>
    <row r="180" spans="1:1" x14ac:dyDescent="0.2">
      <c r="A180" t="s">
        <v>602</v>
      </c>
    </row>
    <row r="181" spans="1:1" x14ac:dyDescent="0.2">
      <c r="A181" t="s">
        <v>90</v>
      </c>
    </row>
    <row r="182" spans="1:1" x14ac:dyDescent="0.2">
      <c r="A182" t="s">
        <v>91</v>
      </c>
    </row>
    <row r="183" spans="1:1" x14ac:dyDescent="0.2">
      <c r="A183" t="s">
        <v>92</v>
      </c>
    </row>
    <row r="185" spans="1:1" x14ac:dyDescent="0.2">
      <c r="A185" t="s">
        <v>486</v>
      </c>
    </row>
    <row r="186" spans="1:1" x14ac:dyDescent="0.2">
      <c r="A186" t="s">
        <v>94</v>
      </c>
    </row>
    <row r="187" spans="1:1" x14ac:dyDescent="0.2">
      <c r="A187" t="s">
        <v>497</v>
      </c>
    </row>
    <row r="188" spans="1:1" x14ac:dyDescent="0.2">
      <c r="A188" t="s">
        <v>97</v>
      </c>
    </row>
    <row r="189" spans="1:1" x14ac:dyDescent="0.2">
      <c r="A189" t="s">
        <v>98</v>
      </c>
    </row>
    <row r="191" spans="1:1" x14ac:dyDescent="0.2">
      <c r="A191" t="s">
        <v>603</v>
      </c>
    </row>
    <row r="192" spans="1:1" x14ac:dyDescent="0.2">
      <c r="A192" t="s">
        <v>96</v>
      </c>
    </row>
    <row r="193" spans="1:1" x14ac:dyDescent="0.2">
      <c r="A193" t="s">
        <v>99</v>
      </c>
    </row>
    <row r="195" spans="1:1" x14ac:dyDescent="0.2">
      <c r="A195" t="s">
        <v>604</v>
      </c>
    </row>
    <row r="196" spans="1:1" x14ac:dyDescent="0.2">
      <c r="A196" t="s">
        <v>105</v>
      </c>
    </row>
    <row r="197" spans="1:1" x14ac:dyDescent="0.2">
      <c r="A197" t="s">
        <v>106</v>
      </c>
    </row>
    <row r="199" spans="1:1" x14ac:dyDescent="0.2">
      <c r="A199" t="s">
        <v>605</v>
      </c>
    </row>
    <row r="200" spans="1:1" x14ac:dyDescent="0.2">
      <c r="A200" t="s">
        <v>101</v>
      </c>
    </row>
    <row r="202" spans="1:1" x14ac:dyDescent="0.2">
      <c r="A202" t="s">
        <v>606</v>
      </c>
    </row>
    <row r="203" spans="1:1" x14ac:dyDescent="0.2">
      <c r="A203" t="s">
        <v>103</v>
      </c>
    </row>
    <row r="205" spans="1:1" x14ac:dyDescent="0.2">
      <c r="A205" t="s">
        <v>607</v>
      </c>
    </row>
    <row r="207" spans="1:1" x14ac:dyDescent="0.2">
      <c r="A207" t="s">
        <v>608</v>
      </c>
    </row>
    <row r="209" spans="1:1" x14ac:dyDescent="0.2">
      <c r="A209" t="s">
        <v>487</v>
      </c>
    </row>
    <row r="211" spans="1:1" x14ac:dyDescent="0.2">
      <c r="A211" t="s">
        <v>609</v>
      </c>
    </row>
    <row r="213" spans="1:1" x14ac:dyDescent="0.2">
      <c r="A213" t="s">
        <v>488</v>
      </c>
    </row>
    <row r="215" spans="1:1" x14ac:dyDescent="0.2">
      <c r="A215" t="s">
        <v>610</v>
      </c>
    </row>
    <row r="217" spans="1:1" x14ac:dyDescent="0.2">
      <c r="A217" t="s">
        <v>611</v>
      </c>
    </row>
    <row r="219" spans="1:1" x14ac:dyDescent="0.2">
      <c r="A219" t="s">
        <v>489</v>
      </c>
    </row>
    <row r="221" spans="1:1" x14ac:dyDescent="0.2">
      <c r="A221" t="s">
        <v>612</v>
      </c>
    </row>
    <row r="223" spans="1:1" x14ac:dyDescent="0.2">
      <c r="A223" t="s">
        <v>490</v>
      </c>
    </row>
    <row r="225" spans="1:1" x14ac:dyDescent="0.2">
      <c r="A225" t="s">
        <v>613</v>
      </c>
    </row>
    <row r="227" spans="1:1" x14ac:dyDescent="0.2">
      <c r="A227" t="s">
        <v>614</v>
      </c>
    </row>
    <row r="229" spans="1:1" x14ac:dyDescent="0.2">
      <c r="A229" t="s">
        <v>491</v>
      </c>
    </row>
    <row r="231" spans="1:1" x14ac:dyDescent="0.2">
      <c r="A231" t="s">
        <v>492</v>
      </c>
    </row>
    <row r="233" spans="1:1" x14ac:dyDescent="0.2">
      <c r="A233" t="s">
        <v>493</v>
      </c>
    </row>
    <row r="235" spans="1:1" x14ac:dyDescent="0.2">
      <c r="A235" t="s">
        <v>615</v>
      </c>
    </row>
    <row r="237" spans="1:1" x14ac:dyDescent="0.2">
      <c r="A237" t="s">
        <v>616</v>
      </c>
    </row>
    <row r="239" spans="1:1" x14ac:dyDescent="0.2">
      <c r="A239" t="s">
        <v>617</v>
      </c>
    </row>
    <row r="241" spans="1:1" x14ac:dyDescent="0.2">
      <c r="A241" t="s">
        <v>618</v>
      </c>
    </row>
    <row r="243" spans="1:1" x14ac:dyDescent="0.2">
      <c r="A243" t="s">
        <v>494</v>
      </c>
    </row>
    <row r="245" spans="1:1" x14ac:dyDescent="0.2">
      <c r="A245" t="s">
        <v>619</v>
      </c>
    </row>
    <row r="247" spans="1:1" x14ac:dyDescent="0.2">
      <c r="A247" t="s">
        <v>620</v>
      </c>
    </row>
    <row r="249" spans="1:1" x14ac:dyDescent="0.2">
      <c r="A249" t="s">
        <v>621</v>
      </c>
    </row>
    <row r="251" spans="1:1" x14ac:dyDescent="0.2">
      <c r="A251" t="s">
        <v>622</v>
      </c>
    </row>
    <row r="253" spans="1:1" x14ac:dyDescent="0.2">
      <c r="A253" t="s">
        <v>623</v>
      </c>
    </row>
    <row r="255" spans="1:1" x14ac:dyDescent="0.2">
      <c r="A255" t="s">
        <v>624</v>
      </c>
    </row>
    <row r="257" spans="1:1" x14ac:dyDescent="0.2">
      <c r="A257" t="s">
        <v>625</v>
      </c>
    </row>
    <row r="259" spans="1:1" x14ac:dyDescent="0.2">
      <c r="A259" t="s">
        <v>421</v>
      </c>
    </row>
    <row r="261" spans="1:1" x14ac:dyDescent="0.2">
      <c r="A261" t="s">
        <v>422</v>
      </c>
    </row>
    <row r="263" spans="1:1" x14ac:dyDescent="0.2">
      <c r="A263" t="s">
        <v>423</v>
      </c>
    </row>
    <row r="265" spans="1:1" x14ac:dyDescent="0.2">
      <c r="A265" t="s">
        <v>424</v>
      </c>
    </row>
    <row r="267" spans="1:1" x14ac:dyDescent="0.2">
      <c r="A267" t="s">
        <v>425</v>
      </c>
    </row>
    <row r="269" spans="1:1" x14ac:dyDescent="0.2">
      <c r="A269" t="s">
        <v>426</v>
      </c>
    </row>
    <row r="271" spans="1:1" x14ac:dyDescent="0.2">
      <c r="A271" t="s">
        <v>427</v>
      </c>
    </row>
    <row r="273" spans="1:1" x14ac:dyDescent="0.2">
      <c r="A273" t="s">
        <v>428</v>
      </c>
    </row>
    <row r="274" spans="1:1" x14ac:dyDescent="0.2">
      <c r="A274" t="s">
        <v>149</v>
      </c>
    </row>
    <row r="275" spans="1:1" x14ac:dyDescent="0.2">
      <c r="A275" t="s">
        <v>398</v>
      </c>
    </row>
    <row r="276" spans="1:1" x14ac:dyDescent="0.2">
      <c r="A276" t="s">
        <v>400</v>
      </c>
    </row>
    <row r="277" spans="1:1" x14ac:dyDescent="0.2">
      <c r="A277" t="s">
        <v>151</v>
      </c>
    </row>
    <row r="278" spans="1:1" x14ac:dyDescent="0.2">
      <c r="A278" t="s">
        <v>402</v>
      </c>
    </row>
    <row r="279" spans="1:1" x14ac:dyDescent="0.2">
      <c r="A279" t="s">
        <v>404</v>
      </c>
    </row>
    <row r="280" spans="1:1" x14ac:dyDescent="0.2">
      <c r="A280" t="s">
        <v>153</v>
      </c>
    </row>
    <row r="281" spans="1:1" x14ac:dyDescent="0.2">
      <c r="A281" t="s">
        <v>406</v>
      </c>
    </row>
    <row r="283" spans="1:1" x14ac:dyDescent="0.2">
      <c r="A283" t="s">
        <v>429</v>
      </c>
    </row>
    <row r="284" spans="1:1" x14ac:dyDescent="0.2">
      <c r="A284" t="s">
        <v>133</v>
      </c>
    </row>
    <row r="285" spans="1:1" x14ac:dyDescent="0.2">
      <c r="A285" t="s">
        <v>135</v>
      </c>
    </row>
    <row r="286" spans="1:1" x14ac:dyDescent="0.2">
      <c r="A286" t="s">
        <v>137</v>
      </c>
    </row>
    <row r="287" spans="1:1" x14ac:dyDescent="0.2">
      <c r="A287" t="s">
        <v>139</v>
      </c>
    </row>
    <row r="288" spans="1:1" x14ac:dyDescent="0.2">
      <c r="A288" t="s">
        <v>141</v>
      </c>
    </row>
    <row r="289" spans="1:1" x14ac:dyDescent="0.2">
      <c r="A289" t="s">
        <v>143</v>
      </c>
    </row>
    <row r="291" spans="1:1" x14ac:dyDescent="0.2">
      <c r="A291" t="s">
        <v>430</v>
      </c>
    </row>
    <row r="293" spans="1:1" x14ac:dyDescent="0.2">
      <c r="A293" t="s">
        <v>431</v>
      </c>
    </row>
    <row r="294" spans="1:1" x14ac:dyDescent="0.2">
      <c r="A294" t="s">
        <v>448</v>
      </c>
    </row>
    <row r="295" spans="1:1" x14ac:dyDescent="0.2">
      <c r="A295" t="s">
        <v>147</v>
      </c>
    </row>
    <row r="297" spans="1:1" x14ac:dyDescent="0.2">
      <c r="A297" t="s">
        <v>432</v>
      </c>
    </row>
    <row r="299" spans="1:1" x14ac:dyDescent="0.2">
      <c r="A299" t="s">
        <v>433</v>
      </c>
    </row>
    <row r="301" spans="1:1" x14ac:dyDescent="0.2">
      <c r="A301" t="s">
        <v>434</v>
      </c>
    </row>
    <row r="303" spans="1:1" x14ac:dyDescent="0.2">
      <c r="A303" t="s">
        <v>435</v>
      </c>
    </row>
    <row r="305" spans="1:1" x14ac:dyDescent="0.2">
      <c r="A305" t="s">
        <v>436</v>
      </c>
    </row>
    <row r="307" spans="1:1" x14ac:dyDescent="0.2">
      <c r="A307" t="s">
        <v>437</v>
      </c>
    </row>
    <row r="308" spans="1:1" x14ac:dyDescent="0.2">
      <c r="A308" t="s">
        <v>32</v>
      </c>
    </row>
    <row r="309" spans="1:1" x14ac:dyDescent="0.2">
      <c r="A309" t="s">
        <v>35</v>
      </c>
    </row>
    <row r="310" spans="1:1" x14ac:dyDescent="0.2">
      <c r="A310" t="s">
        <v>37</v>
      </c>
    </row>
    <row r="311" spans="1:1" x14ac:dyDescent="0.2">
      <c r="A311" t="s">
        <v>38</v>
      </c>
    </row>
    <row r="312" spans="1:1" x14ac:dyDescent="0.2">
      <c r="A312" t="s">
        <v>41</v>
      </c>
    </row>
    <row r="313" spans="1:1" x14ac:dyDescent="0.2">
      <c r="A313" t="s">
        <v>419</v>
      </c>
    </row>
    <row r="315" spans="1:1" x14ac:dyDescent="0.2">
      <c r="A315" t="s">
        <v>438</v>
      </c>
    </row>
    <row r="317" spans="1:1" x14ac:dyDescent="0.2">
      <c r="A317" t="s">
        <v>439</v>
      </c>
    </row>
    <row r="319" spans="1:1" x14ac:dyDescent="0.2">
      <c r="A319" t="s">
        <v>440</v>
      </c>
    </row>
    <row r="320" spans="1:1" x14ac:dyDescent="0.2">
      <c r="A320" t="s">
        <v>269</v>
      </c>
    </row>
    <row r="321" spans="1:1" x14ac:dyDescent="0.2">
      <c r="A321" t="s">
        <v>271</v>
      </c>
    </row>
    <row r="322" spans="1:1" x14ac:dyDescent="0.2">
      <c r="A322" t="s">
        <v>496</v>
      </c>
    </row>
    <row r="323" spans="1:1" x14ac:dyDescent="0.2">
      <c r="A323" t="s">
        <v>273</v>
      </c>
    </row>
    <row r="324" spans="1:1" x14ac:dyDescent="0.2">
      <c r="A324" t="s">
        <v>275</v>
      </c>
    </row>
    <row r="326" spans="1:1" x14ac:dyDescent="0.2">
      <c r="A326" t="s">
        <v>441</v>
      </c>
    </row>
    <row r="328" spans="1:1" x14ac:dyDescent="0.2">
      <c r="A328" t="s">
        <v>442</v>
      </c>
    </row>
    <row r="330" spans="1:1" x14ac:dyDescent="0.2">
      <c r="A330" t="s">
        <v>443</v>
      </c>
    </row>
    <row r="332" spans="1:1" x14ac:dyDescent="0.2">
      <c r="A332" t="s">
        <v>444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185</vt:i4>
      </vt:variant>
    </vt:vector>
  </HeadingPairs>
  <TitlesOfParts>
    <vt:vector size="192" baseType="lpstr">
      <vt:lpstr>Template</vt:lpstr>
      <vt:lpstr>Benthic.Codes</vt:lpstr>
      <vt:lpstr>Benthic.Genus.Species</vt:lpstr>
      <vt:lpstr>Benthic.Morphology</vt:lpstr>
      <vt:lpstr>Site_info</vt:lpstr>
      <vt:lpstr>Parameters</vt:lpstr>
      <vt:lpstr>Working List</vt:lpstr>
      <vt:lpstr>BENTHIC_CODE</vt:lpstr>
      <vt:lpstr>G.ANE</vt:lpstr>
      <vt:lpstr>G.ASC</vt:lpstr>
      <vt:lpstr>G.BRY</vt:lpstr>
      <vt:lpstr>G.CCA</vt:lpstr>
      <vt:lpstr>G.CYA</vt:lpstr>
      <vt:lpstr>G.DCA</vt:lpstr>
      <vt:lpstr>G.DCO</vt:lpstr>
      <vt:lpstr>G.HCO</vt:lpstr>
      <vt:lpstr>G.INV</vt:lpstr>
      <vt:lpstr>G.MAA</vt:lpstr>
      <vt:lpstr>G.MIL</vt:lpstr>
      <vt:lpstr>G.OTH</vt:lpstr>
      <vt:lpstr>G.PEY</vt:lpstr>
      <vt:lpstr>G.RBB</vt:lpstr>
      <vt:lpstr>G.RCK</vt:lpstr>
      <vt:lpstr>G.SAN</vt:lpstr>
      <vt:lpstr>G.SCO</vt:lpstr>
      <vt:lpstr>G.SGR</vt:lpstr>
      <vt:lpstr>G.SIL</vt:lpstr>
      <vt:lpstr>G.SPO</vt:lpstr>
      <vt:lpstr>G.TAL</vt:lpstr>
      <vt:lpstr>G.UNK</vt:lpstr>
      <vt:lpstr>G.WAT</vt:lpstr>
      <vt:lpstr>G.ZOA</vt:lpstr>
      <vt:lpstr>M.ANE</vt:lpstr>
      <vt:lpstr>M.ASC</vt:lpstr>
      <vt:lpstr>M.BRY</vt:lpstr>
      <vt:lpstr>M.CCA</vt:lpstr>
      <vt:lpstr>M.CYA</vt:lpstr>
      <vt:lpstr>M.DCA</vt:lpstr>
      <vt:lpstr>M.DCO</vt:lpstr>
      <vt:lpstr>M.HCO</vt:lpstr>
      <vt:lpstr>M.INV</vt:lpstr>
      <vt:lpstr>M.MAA</vt:lpstr>
      <vt:lpstr>M.MIL</vt:lpstr>
      <vt:lpstr>M.OTH</vt:lpstr>
      <vt:lpstr>M.PEY</vt:lpstr>
      <vt:lpstr>M.RBB</vt:lpstr>
      <vt:lpstr>M.RCK</vt:lpstr>
      <vt:lpstr>M.SAN</vt:lpstr>
      <vt:lpstr>M.SCO</vt:lpstr>
      <vt:lpstr>M.SGR</vt:lpstr>
      <vt:lpstr>M.SIL</vt:lpstr>
      <vt:lpstr>M.SPO</vt:lpstr>
      <vt:lpstr>M.TAL</vt:lpstr>
      <vt:lpstr>M.UNK</vt:lpstr>
      <vt:lpstr>M.WAT</vt:lpstr>
      <vt:lpstr>M.ZOA</vt:lpstr>
      <vt:lpstr>Parameters</vt:lpstr>
      <vt:lpstr>S.ASC.LISSOCLINUM</vt:lpstr>
      <vt:lpstr>S.ASC.POLYCARPA</vt:lpstr>
      <vt:lpstr>S.DCO.AGARICIA</vt:lpstr>
      <vt:lpstr>S.HCO.ACANTHASTREA</vt:lpstr>
      <vt:lpstr>S.HCO.ACROPORA</vt:lpstr>
      <vt:lpstr>S.HCO.AGARICIA</vt:lpstr>
      <vt:lpstr>S.HCO.ALVEOPORA</vt:lpstr>
      <vt:lpstr>S.HCO.ANACROPORA</vt:lpstr>
      <vt:lpstr>S.HCO.ASTREA</vt:lpstr>
      <vt:lpstr>S.HCO.ASTREOPORA</vt:lpstr>
      <vt:lpstr>S.HCO.BARABATTOIA</vt:lpstr>
      <vt:lpstr>S.HCO.CAULASTREA</vt:lpstr>
      <vt:lpstr>S.HCO.COELOSERIS</vt:lpstr>
      <vt:lpstr>S.HCO.COLPOPHYLLIA</vt:lpstr>
      <vt:lpstr>S.HCO.COSCINARAEA</vt:lpstr>
      <vt:lpstr>S.HCO.CTENACTIS</vt:lpstr>
      <vt:lpstr>S.HCO.CYCLOSERIS</vt:lpstr>
      <vt:lpstr>S.HCO.CYPHASTREA</vt:lpstr>
      <vt:lpstr>S.HCO.DENDROGYRA</vt:lpstr>
      <vt:lpstr>S.HCO.DICHOCOENIA</vt:lpstr>
      <vt:lpstr>S.HCO.DIPLOASTREA</vt:lpstr>
      <vt:lpstr>S.HCO.DIPLORIA</vt:lpstr>
      <vt:lpstr>S.HCO.DUNCANOPSAMMIA</vt:lpstr>
      <vt:lpstr>S.HCO.ECHINOPHYLLIA</vt:lpstr>
      <vt:lpstr>S.HCO.ECHINOPORA</vt:lpstr>
      <vt:lpstr>S.HCO.EUPHYLLIA</vt:lpstr>
      <vt:lpstr>S.HCO.EUSMILIA</vt:lpstr>
      <vt:lpstr>S.HCO.FAVIA</vt:lpstr>
      <vt:lpstr>S.HCO.FAVITES</vt:lpstr>
      <vt:lpstr>S.HCO.FUNGIA</vt:lpstr>
      <vt:lpstr>S.HCO.GALAXEA</vt:lpstr>
      <vt:lpstr>S.HCO.GARDINEROSERIS</vt:lpstr>
      <vt:lpstr>S.HCO.GONIASTREA</vt:lpstr>
      <vt:lpstr>S.HCO.GONIOPORA</vt:lpstr>
      <vt:lpstr>S.HCO.HALOMITRA</vt:lpstr>
      <vt:lpstr>S.HCO.HELIOFUNGIA</vt:lpstr>
      <vt:lpstr>S.HCO.HELIOPORA</vt:lpstr>
      <vt:lpstr>S.HCO.HELIOSERIS</vt:lpstr>
      <vt:lpstr>S.HCO.HERPOLITHA</vt:lpstr>
      <vt:lpstr>S.HCO.HYDNOPHORA</vt:lpstr>
      <vt:lpstr>S.HCO.ISOPHYLLIA</vt:lpstr>
      <vt:lpstr>S.HCO.ISOPORA</vt:lpstr>
      <vt:lpstr>S.HCO.LEPTASTREA</vt:lpstr>
      <vt:lpstr>S.HCO.LEPTORIA</vt:lpstr>
      <vt:lpstr>S.HCO.LEPTOSERIS</vt:lpstr>
      <vt:lpstr>S.HCO.LITHOPHYLLON</vt:lpstr>
      <vt:lpstr>S.HCO.LOBOPHYLLIA</vt:lpstr>
      <vt:lpstr>S.HCO.MADRACIS</vt:lpstr>
      <vt:lpstr>S.HCO.MEANDRINA</vt:lpstr>
      <vt:lpstr>S.HCO.MERULINA</vt:lpstr>
      <vt:lpstr>S.HCO.MONTASTRAEA</vt:lpstr>
      <vt:lpstr>S.HCO.MONTASTREA</vt:lpstr>
      <vt:lpstr>S.HCO.MONTIPORA</vt:lpstr>
      <vt:lpstr>S.HCO.MYCEDIUM</vt:lpstr>
      <vt:lpstr>S.HCO.MYCETOPHYLLIA</vt:lpstr>
      <vt:lpstr>S.HCO.ORBICELLA</vt:lpstr>
      <vt:lpstr>S.HCO.OULOPHYLLIA</vt:lpstr>
      <vt:lpstr>S.HCO.OXYPORA</vt:lpstr>
      <vt:lpstr>S.HCO.PACHYSERIS</vt:lpstr>
      <vt:lpstr>S.HCO.PALAUASTREA</vt:lpstr>
      <vt:lpstr>S.HCO.PARACLAVARINA</vt:lpstr>
      <vt:lpstr>S.HCO.PAVONA</vt:lpstr>
      <vt:lpstr>S.HCO.PECTINIA</vt:lpstr>
      <vt:lpstr>S.HCO.PHYSOGYRA</vt:lpstr>
      <vt:lpstr>S.HCO.PLATYGYRA</vt:lpstr>
      <vt:lpstr>S.HCO.PLEROGYRA</vt:lpstr>
      <vt:lpstr>S.HCO.PLESIASTREA</vt:lpstr>
      <vt:lpstr>S.HCO.POCILLOPORA</vt:lpstr>
      <vt:lpstr>S.HCO.PODABACIA</vt:lpstr>
      <vt:lpstr>S.HCO.POLYPHYLLIA</vt:lpstr>
      <vt:lpstr>S.HCO.PORITES</vt:lpstr>
      <vt:lpstr>S.HCO.PSAMMOCORA</vt:lpstr>
      <vt:lpstr>S.HCO.PSEUDODIPLORIA</vt:lpstr>
      <vt:lpstr>S.HCO.SANDALOLITHA</vt:lpstr>
      <vt:lpstr>S.HCO.SCAPOPHYLLIA</vt:lpstr>
      <vt:lpstr>S.HCO.SCOLYMIA</vt:lpstr>
      <vt:lpstr>S.HCO.SERIATOPORA</vt:lpstr>
      <vt:lpstr>S.HCO.SIDERASTREA</vt:lpstr>
      <vt:lpstr>S.HCO.SOLENASTREA</vt:lpstr>
      <vt:lpstr>S.HCO.STEPHANOCOENIA</vt:lpstr>
      <vt:lpstr>S.HCO.STYLOCOENIELLA</vt:lpstr>
      <vt:lpstr>S.HCO.STYLOPHORA</vt:lpstr>
      <vt:lpstr>S.HCO.SYMPHYLLIA</vt:lpstr>
      <vt:lpstr>S.HCO.TRACHYPHYLLIA</vt:lpstr>
      <vt:lpstr>S.HCO.TUBASTREA</vt:lpstr>
      <vt:lpstr>S.HCO.TURBINARIA</vt:lpstr>
      <vt:lpstr>S.HCO.XENIA</vt:lpstr>
      <vt:lpstr>S.HCO.ZOOPILUS</vt:lpstr>
      <vt:lpstr>S.INV.GASTROPOD_SPP.</vt:lpstr>
      <vt:lpstr>S.MAA.AMPHIROA_SPP.</vt:lpstr>
      <vt:lpstr>S.MAA.CAULERPA_SPP.</vt:lpstr>
      <vt:lpstr>S.MAA.CODIUM_SPP.</vt:lpstr>
      <vt:lpstr>S.MAA.DICTYOTA_SPP.</vt:lpstr>
      <vt:lpstr>S.MAA.FUZZ_BALL</vt:lpstr>
      <vt:lpstr>S.MAA.GALAXAURA_SPP.</vt:lpstr>
      <vt:lpstr>S.MAA.HALIMEDA_SPP.</vt:lpstr>
      <vt:lpstr>S.MAA.LOBOPHORA_SPP.</vt:lpstr>
      <vt:lpstr>S.MAA.PADINA_SPP.</vt:lpstr>
      <vt:lpstr>S.MAA.SARGASSUM</vt:lpstr>
      <vt:lpstr>S.MAA.TRICLEOCARPA_SPP.</vt:lpstr>
      <vt:lpstr>S.MAA.TURBINARIA_SPP.</vt:lpstr>
      <vt:lpstr>S.MAA.UDOTEA_SPP.</vt:lpstr>
      <vt:lpstr>S.MAA.UNKOWN</vt:lpstr>
      <vt:lpstr>S.MAA.VALONIA_SPP.</vt:lpstr>
      <vt:lpstr>S.MAA.VENTRICOSA</vt:lpstr>
      <vt:lpstr>S.MAA.WRANGLIA</vt:lpstr>
      <vt:lpstr>S.MIL.BRANCHING</vt:lpstr>
      <vt:lpstr>S.MIL.PLATING</vt:lpstr>
      <vt:lpstr>S.SCO.ANTHELIA</vt:lpstr>
      <vt:lpstr>S.SCO.ASTEROSPICULARIA</vt:lpstr>
      <vt:lpstr>S.SCO.ASTROGORGIA</vt:lpstr>
      <vt:lpstr>S.SCO.BRIAREUM</vt:lpstr>
      <vt:lpstr>S.SCO.CESPITULARIA</vt:lpstr>
      <vt:lpstr>S.SCO.CLADIELLA</vt:lpstr>
      <vt:lpstr>S.SCO.CLAVULARIA</vt:lpstr>
      <vt:lpstr>S.SCO.GORGONIA</vt:lpstr>
      <vt:lpstr>S.SCO.ISIS</vt:lpstr>
      <vt:lpstr>S.SCO.KLYXUM</vt:lpstr>
      <vt:lpstr>S.SCO.LOBOPHYTUM</vt:lpstr>
      <vt:lpstr>S.SCO.NEPHTHEA</vt:lpstr>
      <vt:lpstr>S.SCO.PINNIGORGIA</vt:lpstr>
      <vt:lpstr>S.SCO.SARCOPHYTON</vt:lpstr>
      <vt:lpstr>S.SCO.SCLERONEPHTHYA</vt:lpstr>
      <vt:lpstr>S.SCO.SINULARIA</vt:lpstr>
      <vt:lpstr>S.SCO.TUBIPORA</vt:lpstr>
      <vt:lpstr>S.SCO.UNKNOWN</vt:lpstr>
      <vt:lpstr>S.SCO.XENIA</vt:lpstr>
      <vt:lpstr>S.SPO.BARREL_SPONGE</vt:lpstr>
      <vt:lpstr>S.SPO.BUSHY_SPONGE</vt:lpstr>
      <vt:lpstr>S.SPO.ENCRUSTING_SPONGE</vt:lpstr>
      <vt:lpstr>S.SPO.GLOBE_SPONGE</vt:lpstr>
      <vt:lpstr>S.SPO.ROD_SPONGE</vt:lpstr>
      <vt:lpstr>S.SPO.TUBE_SPONGE</vt:lpstr>
      <vt:lpstr>S.SPO.VASE_SPONGE</vt:lpstr>
      <vt:lpstr>SiteInfo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Exton</dc:creator>
  <cp:lastModifiedBy>Toby Haddon</cp:lastModifiedBy>
  <cp:lastPrinted>2023-06-26T16:23:17Z</cp:lastPrinted>
  <dcterms:created xsi:type="dcterms:W3CDTF">2023-06-12T12:29:10Z</dcterms:created>
  <dcterms:modified xsi:type="dcterms:W3CDTF">2024-12-29T14:18:56Z</dcterms:modified>
</cp:coreProperties>
</file>